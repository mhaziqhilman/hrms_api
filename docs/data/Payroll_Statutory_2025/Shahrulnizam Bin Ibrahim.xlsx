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ziq\Averroes Data Science\Company\Velarix Technology Sdn Bhd\HR\Payslip\Statutory 2025\"/>
    </mc:Choice>
  </mc:AlternateContent>
  <xr:revisionPtr revIDLastSave="0" documentId="13_ncr:1_{43DEDEAB-FF10-4626-9DD9-062A381B3EB0}" xr6:coauthVersionLast="47" xr6:coauthVersionMax="47" xr10:uidLastSave="{00000000-0000-0000-0000-000000000000}"/>
  <bookViews>
    <workbookView xWindow="-108" yWindow="-108" windowWidth="23256" windowHeight="12456" xr2:uid="{BF02D2C5-C94D-425B-AED4-CC56415698E0}"/>
  </bookViews>
  <sheets>
    <sheet name="Dedu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  <c r="C14" i="1"/>
  <c r="D14" i="1"/>
  <c r="O14" i="1"/>
  <c r="N14" i="1"/>
  <c r="M14" i="1"/>
  <c r="H14" i="1"/>
  <c r="G14" i="1"/>
  <c r="F14" i="1"/>
  <c r="E14" i="1"/>
  <c r="R8" i="1"/>
  <c r="R9" i="1" s="1"/>
  <c r="R10" i="1" s="1"/>
  <c r="R11" i="1" s="1"/>
  <c r="R12" i="1" s="1"/>
  <c r="R13" i="1" s="1"/>
  <c r="Q8" i="1"/>
  <c r="Q9" i="1" s="1"/>
  <c r="Q10" i="1" s="1"/>
  <c r="Q11" i="1" s="1"/>
  <c r="Q12" i="1" s="1"/>
  <c r="Q13" i="1" s="1"/>
  <c r="P8" i="1"/>
  <c r="P9" i="1" s="1"/>
  <c r="P10" i="1" s="1"/>
  <c r="P11" i="1" s="1"/>
  <c r="P12" i="1" s="1"/>
  <c r="P13" i="1" s="1"/>
  <c r="L8" i="1"/>
  <c r="L9" i="1" s="1"/>
  <c r="L10" i="1" s="1"/>
  <c r="L11" i="1" s="1"/>
  <c r="L12" i="1" s="1"/>
  <c r="K8" i="1"/>
  <c r="K9" i="1" s="1"/>
  <c r="K10" i="1" s="1"/>
  <c r="K11" i="1" s="1"/>
  <c r="K12" i="1" s="1"/>
  <c r="K13" i="1" s="1"/>
  <c r="J8" i="1"/>
  <c r="J9" i="1" s="1"/>
  <c r="J10" i="1" s="1"/>
  <c r="J11" i="1" s="1"/>
  <c r="J12" i="1" s="1"/>
  <c r="J13" i="1" s="1"/>
  <c r="I8" i="1"/>
  <c r="I9" i="1" s="1"/>
  <c r="I10" i="1" s="1"/>
  <c r="I11" i="1" s="1"/>
  <c r="I12" i="1" s="1"/>
  <c r="I13" i="1" s="1"/>
</calcChain>
</file>

<file path=xl/sharedStrings.xml><?xml version="1.0" encoding="utf-8"?>
<sst xmlns="http://schemas.openxmlformats.org/spreadsheetml/2006/main" count="34" uniqueCount="24">
  <si>
    <t>Year</t>
  </si>
  <si>
    <t>Month</t>
  </si>
  <si>
    <t>Salary</t>
  </si>
  <si>
    <t>Deduction Employee</t>
  </si>
  <si>
    <t>YTD Employee</t>
  </si>
  <si>
    <t>Deduction Employer</t>
  </si>
  <si>
    <t>YTD Employer</t>
  </si>
  <si>
    <t>EPF</t>
  </si>
  <si>
    <t>Socso</t>
  </si>
  <si>
    <t>EIS</t>
  </si>
  <si>
    <t>Income Tax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</si>
  <si>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</si>
  <si>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</si>
  <si>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</si>
  <si>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</si>
  <si>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</si>
  <si>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</si>
  <si>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</si>
  <si>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</si>
  <si>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</si>
  <si>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</si>
  <si>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</si>
  <si>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</si>
  <si>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Net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</si>
</sst>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b/>
      <sz val="10"/>
      <color rgb="FF000000"/>
      <name val="Inter"/>
      <family val="3"/>
    </font>
    <font>
      <sz val="10"/>
      <color rgb="FF000000"/>
      <name val="Inter"/>
      <family val="3"/>
    </font>
    <font>
      <sz val="10"/>
      <name val="Inter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right" vertical="top"/>
    </xf>
    <xf numFmtId="0" fontId="2" fillId="0" borderId="0" xfId="0" applyFont="1" applyAlignment="1">
      <alignment horizontal="left" vertical="top"/>
    </xf>
    <xf numFmtId="0" fontId="2" fillId="0" borderId="2" xfId="0" applyFont="1" applyBorder="1" applyAlignment="1">
      <alignment horizontal="right" vertical="top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4" fontId="3" fillId="0" borderId="6" xfId="0" applyNumberFormat="1" applyFont="1" applyBorder="1" applyAlignment="1">
      <alignment vertical="center" wrapText="1"/>
    </xf>
    <xf numFmtId="0" fontId="2" fillId="0" borderId="8" xfId="0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0" fontId="2" fillId="0" borderId="0" xfId="0" applyFont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11" xfId="0" applyFont="1" applyBorder="1" applyAlignment="1">
      <alignment horizontal="right" vertical="top"/>
    </xf>
    <xf numFmtId="4" fontId="1" fillId="0" borderId="7" xfId="0" applyNumberFormat="1" applyFont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4" fontId="2" fillId="0" borderId="10" xfId="0" applyNumberFormat="1" applyFont="1" applyBorder="1" applyAlignment="1">
      <alignment horizontal="right" vertical="top"/>
    </xf>
    <xf numFmtId="4" fontId="2" fillId="0" borderId="6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right" vertical="top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top"/>
    </xf>
    <xf numFmtId="0" fontId="1" fillId="0" borderId="7" xfId="0" applyFont="1" applyBorder="1" applyAlignment="1">
      <alignment horizontal="right" vertical="top"/>
    </xf>
    <xf numFmtId="0" fontId="1" fillId="2" borderId="5" xfId="0" applyFont="1" applyFill="1" applyBorder="1" applyAlignment="1">
      <alignment horizontal="center" vertical="top"/>
    </xf>
    <xf numFmtId="0" fontId="1" fillId="2" borderId="9" xfId="0" applyFont="1" applyFill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A7F47-F9DD-40D3-90E3-F1F521F63932}">
  <dimension ref="A1:S27"/>
  <sheetViews>
    <sheetView tabSelected="1" workbookViewId="0">
      <selection activeCell="J12" sqref="J12"/>
    </sheetView>
  </sheetViews>
  <sheetFormatPr defaultRowHeight="13.2" x14ac:dyDescent="0.25"/>
  <cols>
    <col min="1" max="2" width="8.88671875" style="5"/>
    <col min="3" max="3" width="10.88671875" style="5" bestFit="1" customWidth="1"/>
    <col min="4" max="4" width="10.5546875" style="5" bestFit="1" customWidth="1"/>
    <col min="5" max="5" width="14.109375" style="5" bestFit="1" customWidth="1"/>
    <col min="6" max="7" width="8.88671875" style="5"/>
    <col min="8" max="8" width="11.33203125" style="5" bestFit="1" customWidth="1"/>
    <col min="9" max="9" width="14.109375" style="5" bestFit="1" customWidth="1"/>
    <col min="10" max="11" width="8.88671875" style="5"/>
    <col min="12" max="12" width="11.33203125" style="5" bestFit="1" customWidth="1"/>
    <col min="13" max="13" width="13.6640625" style="5" bestFit="1" customWidth="1"/>
    <col min="14" max="15" width="8.88671875" style="5"/>
    <col min="16" max="16" width="13.6640625" style="5" bestFit="1" customWidth="1"/>
    <col min="17" max="16384" width="8.88671875" style="5"/>
  </cols>
  <sheetData>
    <row r="1" spans="1:18" s="2" customFormat="1" x14ac:dyDescent="0.25">
      <c r="A1" s="24" t="s">
        <v>0</v>
      </c>
      <c r="B1" s="24" t="s">
        <v>1</v>
      </c>
      <c r="C1" s="30" t="s">
        <v>2</v>
      </c>
      <c r="D1" s="30" t="s">
        <v>23</v>
      </c>
      <c r="E1" s="24" t="s">
        <v>3</v>
      </c>
      <c r="F1" s="24"/>
      <c r="G1" s="24"/>
      <c r="H1" s="24"/>
      <c r="I1" s="24" t="s">
        <v>4</v>
      </c>
      <c r="J1" s="24"/>
      <c r="K1" s="24"/>
      <c r="L1" s="24"/>
      <c r="M1" s="24" t="s">
        <v>5</v>
      </c>
      <c r="N1" s="24"/>
      <c r="O1" s="24"/>
      <c r="P1" s="24" t="s">
        <v>6</v>
      </c>
      <c r="Q1" s="24"/>
      <c r="R1" s="24"/>
    </row>
    <row r="2" spans="1:18" s="2" customFormat="1" x14ac:dyDescent="0.25">
      <c r="A2" s="24"/>
      <c r="B2" s="24"/>
      <c r="C2" s="31"/>
      <c r="D2" s="31"/>
      <c r="E2" s="1" t="s">
        <v>7</v>
      </c>
      <c r="F2" s="1" t="s">
        <v>8</v>
      </c>
      <c r="G2" s="1" t="s">
        <v>9</v>
      </c>
      <c r="H2" s="1" t="s">
        <v>10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7</v>
      </c>
      <c r="N2" s="1" t="s">
        <v>8</v>
      </c>
      <c r="O2" s="1" t="s">
        <v>9</v>
      </c>
      <c r="P2" s="1" t="s">
        <v>7</v>
      </c>
      <c r="Q2" s="1" t="s">
        <v>8</v>
      </c>
      <c r="R2" s="1" t="s">
        <v>9</v>
      </c>
    </row>
    <row r="3" spans="1:18" x14ac:dyDescent="0.25">
      <c r="A3" s="3">
        <v>2025</v>
      </c>
      <c r="B3" s="3" t="s">
        <v>11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x14ac:dyDescent="0.25">
      <c r="A4" s="3">
        <v>2025</v>
      </c>
      <c r="B4" s="3" t="s">
        <v>12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x14ac:dyDescent="0.25">
      <c r="A5" s="3">
        <v>2025</v>
      </c>
      <c r="B5" s="3" t="s">
        <v>13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x14ac:dyDescent="0.25">
      <c r="A6" s="3">
        <v>2025</v>
      </c>
      <c r="B6" s="3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25">
      <c r="A7" s="3">
        <v>2025</v>
      </c>
      <c r="B7" s="3" t="s">
        <v>15</v>
      </c>
      <c r="C7" s="20"/>
      <c r="D7" s="6"/>
      <c r="E7" s="6"/>
      <c r="F7" s="6"/>
      <c r="G7" s="6"/>
      <c r="H7" s="6"/>
      <c r="I7" s="4"/>
      <c r="J7" s="4"/>
      <c r="K7" s="4"/>
      <c r="L7" s="4"/>
      <c r="M7" s="6"/>
      <c r="N7" s="6"/>
      <c r="O7" s="6"/>
      <c r="P7" s="4"/>
      <c r="Q7" s="4"/>
      <c r="R7" s="4"/>
    </row>
    <row r="8" spans="1:18" x14ac:dyDescent="0.25">
      <c r="A8" s="3">
        <v>2025</v>
      </c>
      <c r="B8" s="7" t="s">
        <v>16</v>
      </c>
      <c r="C8" s="21">
        <v>3658.06</v>
      </c>
      <c r="D8" s="22">
        <v>3210.8</v>
      </c>
      <c r="E8" s="18">
        <v>403</v>
      </c>
      <c r="F8" s="8">
        <v>18.260000000000002</v>
      </c>
      <c r="G8" s="8">
        <v>7.3</v>
      </c>
      <c r="H8" s="8">
        <v>18.7</v>
      </c>
      <c r="I8" s="9">
        <f t="shared" ref="I8:L13" si="0">SUM(I7,E8)</f>
        <v>403</v>
      </c>
      <c r="J8" s="4">
        <f t="shared" si="0"/>
        <v>18.260000000000002</v>
      </c>
      <c r="K8" s="4">
        <f t="shared" si="0"/>
        <v>7.3</v>
      </c>
      <c r="L8" s="10">
        <f t="shared" si="0"/>
        <v>18.7</v>
      </c>
      <c r="M8" s="11">
        <v>476</v>
      </c>
      <c r="N8" s="11">
        <v>65.849999999999994</v>
      </c>
      <c r="O8" s="11">
        <v>7.3</v>
      </c>
      <c r="P8" s="9">
        <f t="shared" ref="P8:R13" si="1">SUM(P7,M8)</f>
        <v>476</v>
      </c>
      <c r="Q8" s="4">
        <f t="shared" si="1"/>
        <v>65.849999999999994</v>
      </c>
      <c r="R8" s="4">
        <f t="shared" si="1"/>
        <v>7.3</v>
      </c>
    </row>
    <row r="9" spans="1:18" x14ac:dyDescent="0.25">
      <c r="A9" s="3">
        <v>2025</v>
      </c>
      <c r="B9" s="7" t="s">
        <v>17</v>
      </c>
      <c r="C9" s="23">
        <v>6300</v>
      </c>
      <c r="D9" s="22">
        <v>5279.9</v>
      </c>
      <c r="E9" s="12">
        <v>693</v>
      </c>
      <c r="F9" s="13">
        <v>29.75</v>
      </c>
      <c r="G9" s="13">
        <v>11.9</v>
      </c>
      <c r="H9" s="13">
        <v>285.45</v>
      </c>
      <c r="I9" s="4">
        <f t="shared" si="0"/>
        <v>1096</v>
      </c>
      <c r="J9" s="4">
        <f t="shared" si="0"/>
        <v>48.010000000000005</v>
      </c>
      <c r="K9" s="4">
        <f t="shared" si="0"/>
        <v>19.2</v>
      </c>
      <c r="L9" s="4">
        <f t="shared" si="0"/>
        <v>304.14999999999998</v>
      </c>
      <c r="M9" s="13">
        <v>756</v>
      </c>
      <c r="N9" s="13">
        <v>104.15</v>
      </c>
      <c r="O9" s="13">
        <v>11.9</v>
      </c>
      <c r="P9" s="4">
        <f t="shared" si="1"/>
        <v>1232</v>
      </c>
      <c r="Q9" s="4">
        <f t="shared" si="1"/>
        <v>170</v>
      </c>
      <c r="R9" s="4">
        <f t="shared" si="1"/>
        <v>19.2</v>
      </c>
    </row>
    <row r="10" spans="1:18" x14ac:dyDescent="0.25">
      <c r="A10" s="3">
        <v>2025</v>
      </c>
      <c r="B10" s="3" t="s">
        <v>18</v>
      </c>
      <c r="C10" s="14">
        <v>6300</v>
      </c>
      <c r="D10" s="22">
        <v>5279.9</v>
      </c>
      <c r="E10" s="9">
        <v>693</v>
      </c>
      <c r="F10" s="4">
        <v>29.75</v>
      </c>
      <c r="G10" s="4">
        <v>11.9</v>
      </c>
      <c r="H10" s="4">
        <v>285.45</v>
      </c>
      <c r="I10" s="4">
        <f t="shared" si="0"/>
        <v>1789</v>
      </c>
      <c r="J10" s="4">
        <f t="shared" si="0"/>
        <v>77.760000000000005</v>
      </c>
      <c r="K10" s="4">
        <f t="shared" si="0"/>
        <v>31.1</v>
      </c>
      <c r="L10" s="4">
        <f t="shared" si="0"/>
        <v>589.59999999999991</v>
      </c>
      <c r="M10" s="4">
        <v>756</v>
      </c>
      <c r="N10" s="4">
        <v>104.15</v>
      </c>
      <c r="O10" s="4">
        <v>11.9</v>
      </c>
      <c r="P10" s="4">
        <f t="shared" si="1"/>
        <v>1988</v>
      </c>
      <c r="Q10" s="4">
        <f t="shared" si="1"/>
        <v>274.14999999999998</v>
      </c>
      <c r="R10" s="4">
        <f t="shared" si="1"/>
        <v>31.1</v>
      </c>
    </row>
    <row r="11" spans="1:18" s="14" customFormat="1" x14ac:dyDescent="0.25">
      <c r="A11" s="3">
        <v>2025</v>
      </c>
      <c r="B11" s="3" t="s">
        <v>19</v>
      </c>
      <c r="C11" s="10">
        <v>6600</v>
      </c>
      <c r="D11" s="22">
        <v>5513.9</v>
      </c>
      <c r="E11" s="9">
        <v>726</v>
      </c>
      <c r="F11" s="4">
        <v>29.75</v>
      </c>
      <c r="G11" s="4">
        <v>11.9</v>
      </c>
      <c r="H11" s="4">
        <v>318.45</v>
      </c>
      <c r="I11" s="4">
        <f t="shared" si="0"/>
        <v>2515</v>
      </c>
      <c r="J11" s="4">
        <f t="shared" si="0"/>
        <v>107.51</v>
      </c>
      <c r="K11" s="4">
        <f t="shared" si="0"/>
        <v>43</v>
      </c>
      <c r="L11" s="4">
        <f t="shared" si="0"/>
        <v>908.05</v>
      </c>
      <c r="M11" s="4">
        <v>792</v>
      </c>
      <c r="N11" s="4">
        <v>104.15</v>
      </c>
      <c r="O11" s="4">
        <v>11.9</v>
      </c>
      <c r="P11" s="4">
        <f t="shared" si="1"/>
        <v>2780</v>
      </c>
      <c r="Q11" s="4">
        <f t="shared" si="1"/>
        <v>378.29999999999995</v>
      </c>
      <c r="R11" s="4">
        <f t="shared" si="1"/>
        <v>43</v>
      </c>
    </row>
    <row r="12" spans="1:18" x14ac:dyDescent="0.25">
      <c r="A12" s="3">
        <v>2025</v>
      </c>
      <c r="B12" s="3" t="s">
        <v>20</v>
      </c>
      <c r="C12" s="4">
        <v>6600</v>
      </c>
      <c r="D12" s="22">
        <v>5513.9</v>
      </c>
      <c r="E12" s="4">
        <v>726</v>
      </c>
      <c r="F12" s="4">
        <v>29.75</v>
      </c>
      <c r="G12" s="4">
        <v>11.9</v>
      </c>
      <c r="H12" s="4">
        <v>318.5</v>
      </c>
      <c r="I12" s="4">
        <f t="shared" si="0"/>
        <v>3241</v>
      </c>
      <c r="J12" s="4">
        <f t="shared" si="0"/>
        <v>137.26</v>
      </c>
      <c r="K12" s="4">
        <f t="shared" si="0"/>
        <v>54.9</v>
      </c>
      <c r="L12" s="4">
        <f t="shared" si="0"/>
        <v>1226.55</v>
      </c>
      <c r="M12" s="4">
        <v>792</v>
      </c>
      <c r="N12" s="4">
        <v>104.15</v>
      </c>
      <c r="O12" s="4">
        <v>11.9</v>
      </c>
      <c r="P12" s="4">
        <f t="shared" si="1"/>
        <v>3572</v>
      </c>
      <c r="Q12" s="4">
        <f t="shared" si="1"/>
        <v>482.44999999999993</v>
      </c>
      <c r="R12" s="4">
        <f t="shared" si="1"/>
        <v>54.9</v>
      </c>
    </row>
    <row r="13" spans="1:18" x14ac:dyDescent="0.25">
      <c r="A13" s="3">
        <v>2025</v>
      </c>
      <c r="B13" s="3" t="s">
        <v>21</v>
      </c>
      <c r="C13" s="4">
        <v>6600</v>
      </c>
      <c r="D13" s="22">
        <v>5513.9</v>
      </c>
      <c r="E13" s="4">
        <v>726</v>
      </c>
      <c r="F13" s="4">
        <v>29.75</v>
      </c>
      <c r="G13" s="4">
        <v>11.9</v>
      </c>
      <c r="H13" s="4">
        <v>318.45</v>
      </c>
      <c r="I13" s="4">
        <f t="shared" si="0"/>
        <v>3967</v>
      </c>
      <c r="J13" s="4">
        <f t="shared" si="0"/>
        <v>167.01</v>
      </c>
      <c r="K13" s="4">
        <f t="shared" si="0"/>
        <v>66.8</v>
      </c>
      <c r="L13" s="4">
        <f t="shared" si="0"/>
        <v>1545</v>
      </c>
      <c r="M13" s="4">
        <v>792</v>
      </c>
      <c r="N13" s="4">
        <v>104.15</v>
      </c>
      <c r="O13" s="4">
        <v>11.9</v>
      </c>
      <c r="P13" s="4">
        <f t="shared" si="1"/>
        <v>4364</v>
      </c>
      <c r="Q13" s="4">
        <f t="shared" si="1"/>
        <v>586.59999999999991</v>
      </c>
      <c r="R13" s="4">
        <f t="shared" si="1"/>
        <v>66.8</v>
      </c>
    </row>
    <row r="14" spans="1:18" s="16" customFormat="1" x14ac:dyDescent="0.25">
      <c r="A14" s="25" t="s">
        <v>22</v>
      </c>
      <c r="B14" s="26"/>
      <c r="C14" s="19">
        <f>SUM(C8:C13)</f>
        <v>36058.06</v>
      </c>
      <c r="D14" s="19">
        <f>SUM(D8:D13)</f>
        <v>30312.300000000003</v>
      </c>
      <c r="E14" s="15">
        <f>SUM(E3:E13)</f>
        <v>3967</v>
      </c>
      <c r="F14" s="15">
        <f>SUM(F3:F13)</f>
        <v>167.01</v>
      </c>
      <c r="G14" s="15">
        <f>SUM(G3:G13)</f>
        <v>66.8</v>
      </c>
      <c r="H14" s="15">
        <f>SUM(H3:H13)</f>
        <v>1545</v>
      </c>
      <c r="I14" s="27"/>
      <c r="J14" s="28"/>
      <c r="K14" s="28"/>
      <c r="L14" s="29"/>
      <c r="M14" s="15">
        <f>SUM(M3:M13)</f>
        <v>4364</v>
      </c>
      <c r="N14" s="15">
        <f>SUM(N3:N13)</f>
        <v>586.59999999999991</v>
      </c>
      <c r="O14" s="15">
        <f>SUM(O3:O13)</f>
        <v>66.8</v>
      </c>
      <c r="P14" s="27"/>
      <c r="Q14" s="28"/>
      <c r="R14" s="29"/>
    </row>
    <row r="18" spans="11:19" x14ac:dyDescent="0.25">
      <c r="K18" s="17"/>
      <c r="L18" s="17"/>
      <c r="M18" s="17"/>
      <c r="N18" s="17"/>
      <c r="O18" s="17"/>
      <c r="P18" s="17"/>
      <c r="Q18" s="17"/>
      <c r="R18" s="17"/>
      <c r="S18" s="17"/>
    </row>
    <row r="19" spans="11:19" x14ac:dyDescent="0.25">
      <c r="K19" s="17"/>
      <c r="L19" s="17"/>
      <c r="M19" s="17"/>
      <c r="N19" s="17"/>
      <c r="O19" s="17"/>
      <c r="P19" s="17"/>
      <c r="Q19" s="17"/>
      <c r="R19" s="17"/>
      <c r="S19" s="17"/>
    </row>
    <row r="20" spans="11:19" x14ac:dyDescent="0.25">
      <c r="K20" s="17"/>
      <c r="L20" s="17"/>
      <c r="M20" s="17"/>
      <c r="N20" s="17"/>
      <c r="O20" s="17"/>
      <c r="P20" s="17"/>
      <c r="Q20" s="17"/>
      <c r="R20" s="17"/>
      <c r="S20" s="17"/>
    </row>
    <row r="21" spans="11:19" x14ac:dyDescent="0.25">
      <c r="K21" s="17"/>
      <c r="L21" s="17"/>
      <c r="M21" s="17"/>
      <c r="N21" s="17"/>
      <c r="O21" s="17"/>
      <c r="P21" s="17"/>
      <c r="Q21" s="17"/>
      <c r="R21" s="17"/>
      <c r="S21" s="17"/>
    </row>
    <row r="22" spans="11:19" x14ac:dyDescent="0.25">
      <c r="K22" s="17"/>
      <c r="L22" s="17"/>
      <c r="M22" s="17"/>
      <c r="N22" s="17"/>
      <c r="O22" s="17"/>
      <c r="P22" s="17"/>
      <c r="Q22" s="17"/>
      <c r="R22" s="17"/>
      <c r="S22" s="17"/>
    </row>
    <row r="23" spans="11:19" x14ac:dyDescent="0.25">
      <c r="K23" s="17"/>
      <c r="L23" s="17"/>
      <c r="M23" s="17"/>
      <c r="N23" s="17"/>
      <c r="O23" s="17"/>
      <c r="P23" s="17"/>
      <c r="Q23" s="17"/>
      <c r="R23" s="17"/>
      <c r="S23" s="17"/>
    </row>
    <row r="24" spans="11:19" x14ac:dyDescent="0.25">
      <c r="K24" s="17"/>
      <c r="L24" s="17"/>
      <c r="M24" s="17"/>
      <c r="N24" s="17"/>
      <c r="O24" s="17"/>
      <c r="P24" s="17"/>
      <c r="Q24" s="17"/>
      <c r="R24" s="17"/>
      <c r="S24" s="17"/>
    </row>
    <row r="25" spans="11:19" x14ac:dyDescent="0.25">
      <c r="K25" s="17"/>
      <c r="L25" s="17"/>
      <c r="M25" s="17"/>
      <c r="N25" s="17"/>
      <c r="O25" s="17"/>
      <c r="P25" s="17"/>
      <c r="Q25" s="17"/>
      <c r="R25" s="17"/>
      <c r="S25" s="17"/>
    </row>
    <row r="26" spans="11:19" x14ac:dyDescent="0.25">
      <c r="K26" s="17"/>
      <c r="L26" s="17"/>
      <c r="M26" s="17"/>
      <c r="N26" s="17"/>
      <c r="O26" s="17"/>
      <c r="P26" s="17"/>
      <c r="Q26" s="17"/>
      <c r="R26" s="17"/>
      <c r="S26" s="17"/>
    </row>
    <row r="27" spans="11:19" x14ac:dyDescent="0.25">
      <c r="K27" s="17"/>
      <c r="L27" s="17"/>
      <c r="M27" s="17"/>
      <c r="N27" s="17"/>
      <c r="O27" s="17"/>
      <c r="P27" s="17"/>
      <c r="Q27" s="17"/>
      <c r="R27" s="17"/>
      <c r="S27" s="17"/>
    </row>
  </sheetData>
  <mergeCells count="11">
    <mergeCell ref="P1:R1"/>
    <mergeCell ref="A14:B14"/>
    <mergeCell ref="I14:L14"/>
    <mergeCell ref="P14:R14"/>
    <mergeCell ref="D1:D2"/>
    <mergeCell ref="A1:A2"/>
    <mergeCell ref="B1:B2"/>
    <mergeCell ref="C1:C2"/>
    <mergeCell ref="E1:H1"/>
    <mergeCell ref="I1:L1"/>
    <mergeCell ref="M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Deductions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Haziq Hilman (Averroes)</dc:creator>
  <cp:lastModifiedBy>Haziq Hilman (Averroes)</cp:lastModifiedBy>
  <dcterms:created xsi:type="dcterms:W3CDTF">2026-02-12T08:39:02Z</dcterms:created>
  <dcterms:modified xsi:type="dcterms:W3CDTF">2026-02-27T00:55:23Z</dcterms:modified>
</cp:coreProperties>
</file>