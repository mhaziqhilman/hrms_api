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8_{B03B057A-0B7B-40F2-BFCA-00B5FF48F286}" xr6:coauthVersionLast="47" xr6:coauthVersionMax="47" xr10:uidLastSave="{00000000-0000-0000-0000-000000000000}"/>
  <bookViews>
    <workbookView xWindow="-108" yWindow="-108" windowWidth="23256" windowHeight="12456" xr2:uid="{18B5537A-5CEE-4B72-965C-83728D05D63F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4" i="1"/>
  <c r="C14" i="1"/>
  <c r="J5" i="1"/>
  <c r="J6" i="1" s="1"/>
  <c r="J7" i="1" s="1"/>
  <c r="J8" i="1" s="1"/>
  <c r="J9" i="1" s="1"/>
  <c r="J10" i="1" s="1"/>
  <c r="J11" i="1" s="1"/>
  <c r="J12" i="1" s="1"/>
  <c r="J13" i="1" s="1"/>
  <c r="I5" i="1"/>
  <c r="I6" i="1" s="1"/>
  <c r="I7" i="1" s="1"/>
  <c r="I8" i="1" s="1"/>
  <c r="I9" i="1" s="1"/>
  <c r="I10" i="1" s="1"/>
  <c r="I11" i="1" s="1"/>
  <c r="I12" i="1" s="1"/>
  <c r="I13" i="1" s="1"/>
  <c r="J4" i="1"/>
  <c r="I4" i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J3" i="1"/>
  <c r="I3" i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<sst xmlns="http://schemas.openxmlformats.org/spreadsheetml/2006/main" count="34" uniqueCount="24">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</sst>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left" vertical="top"/>
    </xf>
    <xf numFmtId="0" fontId="3" fillId="0" borderId="5" xfId="1" applyFont="1" applyBorder="1" applyAlignment="1">
      <alignment horizontal="right" vertical="top"/>
    </xf>
    <xf numFmtId="4" fontId="3" fillId="0" borderId="5" xfId="1" applyNumberFormat="1" applyFont="1" applyBorder="1" applyAlignment="1">
      <alignment horizontal="right" vertical="top"/>
    </xf>
    <xf numFmtId="0" fontId="3" fillId="0" borderId="6" xfId="1" applyFont="1" applyBorder="1" applyAlignment="1">
      <alignment horizontal="right" vertical="top"/>
    </xf>
    <xf numFmtId="0" fontId="3" fillId="0" borderId="1" xfId="1" applyFont="1" applyBorder="1" applyAlignment="1">
      <alignment horizontal="right" vertical="top"/>
    </xf>
    <xf numFmtId="0" fontId="3" fillId="0" borderId="0" xfId="1" applyFont="1" applyAlignment="1">
      <alignment horizontal="left" vertical="top"/>
    </xf>
    <xf numFmtId="0" fontId="3" fillId="0" borderId="5" xfId="1" applyFont="1" applyBorder="1" applyAlignment="1">
      <alignment vertical="top"/>
    </xf>
    <xf numFmtId="0" fontId="2" fillId="0" borderId="4" xfId="1" applyFont="1" applyBorder="1" applyAlignment="1">
      <alignment horizontal="right" vertical="top"/>
    </xf>
    <xf numFmtId="0" fontId="2" fillId="0" borderId="6" xfId="1" applyFont="1" applyBorder="1" applyAlignment="1">
      <alignment horizontal="right" vertical="top"/>
    </xf>
    <xf numFmtId="0" fontId="2" fillId="0" borderId="7" xfId="1" applyFont="1" applyBorder="1" applyAlignment="1">
      <alignment horizontal="right" vertical="top"/>
    </xf>
    <xf numFmtId="4" fontId="2" fillId="0" borderId="7" xfId="1" applyNumberFormat="1" applyFont="1" applyBorder="1" applyAlignment="1">
      <alignment horizontal="right" vertical="top"/>
    </xf>
    <xf numFmtId="0" fontId="2" fillId="0" borderId="1" xfId="1" applyFont="1" applyBorder="1" applyAlignment="1">
      <alignment horizontal="right" vertical="top"/>
    </xf>
    <xf numFmtId="0" fontId="2" fillId="2" borderId="4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2" fillId="2" borderId="6" xfId="1" applyFont="1" applyFill="1" applyBorder="1" applyAlignment="1">
      <alignment horizontal="center" vertical="top"/>
    </xf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</cellXfs>
  <cellStyles count="2">
    <cellStyle name="Normal" xfId="0" builtinId="0"/>
    <cellStyle name="Normal 2" xfId="1" xr:uid="{84C8661C-A2B6-4F35-ABFE-588494267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DE8-400A-46EB-B273-ACB2B93D9E33}">
  <dimension ref="A1:R28"/>
  <sheetViews>
    <sheetView tabSelected="1" workbookViewId="0">
      <selection activeCell="D19" sqref="D19"/>
    </sheetView>
  </sheetViews>
  <sheetFormatPr defaultRowHeight="13.2" x14ac:dyDescent="0.3"/>
  <cols>
    <col min="1" max="2" width="8.88671875" style="13"/>
    <col min="3" max="3" width="8.21875" style="13" customWidth="1"/>
    <col min="4" max="4" width="10.5546875" style="13" bestFit="1" customWidth="1"/>
    <col min="5" max="5" width="14.109375" style="13" bestFit="1" customWidth="1"/>
    <col min="6" max="7" width="8.88671875" style="13"/>
    <col min="8" max="8" width="11.33203125" style="13" bestFit="1" customWidth="1"/>
    <col min="9" max="9" width="14.109375" style="13" bestFit="1" customWidth="1"/>
    <col min="10" max="11" width="8.88671875" style="13"/>
    <col min="12" max="12" width="11.33203125" style="13" bestFit="1" customWidth="1"/>
    <col min="13" max="13" width="13.6640625" style="13" bestFit="1" customWidth="1"/>
    <col min="14" max="15" width="8.88671875" style="13"/>
    <col min="16" max="16" width="13.6640625" style="13" bestFit="1" customWidth="1"/>
    <col min="17" max="16384" width="8.88671875" style="13"/>
  </cols>
  <sheetData>
    <row r="1" spans="1:18" s="3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 t="s">
        <v>7</v>
      </c>
      <c r="Q1" s="1"/>
      <c r="R1" s="1"/>
    </row>
    <row r="2" spans="1:18" s="3" customFormat="1" x14ac:dyDescent="0.3">
      <c r="A2" s="1"/>
      <c r="B2" s="1"/>
      <c r="C2" s="4"/>
      <c r="D2" s="4"/>
      <c r="E2" s="5" t="s">
        <v>8</v>
      </c>
      <c r="F2" s="5" t="s">
        <v>9</v>
      </c>
      <c r="G2" s="5" t="s">
        <v>10</v>
      </c>
      <c r="H2" s="5" t="s">
        <v>11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8</v>
      </c>
      <c r="N2" s="5" t="s">
        <v>9</v>
      </c>
      <c r="O2" s="5" t="s">
        <v>10</v>
      </c>
      <c r="P2" s="6" t="s">
        <v>8</v>
      </c>
      <c r="Q2" s="6" t="s">
        <v>9</v>
      </c>
      <c r="R2" s="6" t="s">
        <v>10</v>
      </c>
    </row>
    <row r="3" spans="1:18" x14ac:dyDescent="0.3">
      <c r="A3" s="7">
        <v>2025</v>
      </c>
      <c r="B3" s="8" t="s">
        <v>12</v>
      </c>
      <c r="C3" s="9">
        <v>4500</v>
      </c>
      <c r="D3" s="10">
        <v>3893.85</v>
      </c>
      <c r="E3" s="9">
        <v>495</v>
      </c>
      <c r="F3" s="9">
        <v>22.25</v>
      </c>
      <c r="G3" s="9">
        <v>8.9</v>
      </c>
      <c r="H3" s="9">
        <v>80</v>
      </c>
      <c r="I3" s="9">
        <f>SUM(E3)</f>
        <v>495</v>
      </c>
      <c r="J3" s="9">
        <f t="shared" ref="J3:L3" si="0">SUM(F3)</f>
        <v>22.25</v>
      </c>
      <c r="K3" s="9">
        <f t="shared" si="0"/>
        <v>8.9</v>
      </c>
      <c r="L3" s="9">
        <f t="shared" si="0"/>
        <v>80</v>
      </c>
      <c r="M3" s="9">
        <v>585</v>
      </c>
      <c r="N3" s="9">
        <v>77.849999999999994</v>
      </c>
      <c r="O3" s="9">
        <v>8.9</v>
      </c>
      <c r="P3" s="11">
        <f>SUM(M3)</f>
        <v>585</v>
      </c>
      <c r="Q3" s="12">
        <f>SUM(N3)</f>
        <v>77.849999999999994</v>
      </c>
      <c r="R3" s="12">
        <f>SUM(O3)</f>
        <v>8.9</v>
      </c>
    </row>
    <row r="4" spans="1:18" x14ac:dyDescent="0.3">
      <c r="A4" s="7">
        <v>2025</v>
      </c>
      <c r="B4" s="8" t="s">
        <v>13</v>
      </c>
      <c r="C4" s="9">
        <v>4500</v>
      </c>
      <c r="D4" s="10">
        <v>3893.85</v>
      </c>
      <c r="E4" s="9">
        <v>495</v>
      </c>
      <c r="F4" s="9">
        <v>22.25</v>
      </c>
      <c r="G4" s="9">
        <v>8.9</v>
      </c>
      <c r="H4" s="9">
        <v>80</v>
      </c>
      <c r="I4" s="9">
        <f>SUM(I3,E4)</f>
        <v>990</v>
      </c>
      <c r="J4" s="9">
        <f t="shared" ref="J4:L13" si="1">SUM(J3,F4)</f>
        <v>44.5</v>
      </c>
      <c r="K4" s="9">
        <f t="shared" si="1"/>
        <v>17.8</v>
      </c>
      <c r="L4" s="9">
        <f t="shared" si="1"/>
        <v>160</v>
      </c>
      <c r="M4" s="9">
        <v>585</v>
      </c>
      <c r="N4" s="9">
        <v>77.849999999999994</v>
      </c>
      <c r="O4" s="9">
        <v>8.9</v>
      </c>
      <c r="P4" s="11">
        <f>SUM(P3,M4)</f>
        <v>1170</v>
      </c>
      <c r="Q4" s="12">
        <f>SUM(Q3,N4)</f>
        <v>155.69999999999999</v>
      </c>
      <c r="R4" s="12">
        <f>SUM(R3,O4)</f>
        <v>17.8</v>
      </c>
    </row>
    <row r="5" spans="1:18" x14ac:dyDescent="0.3">
      <c r="A5" s="7">
        <v>2025</v>
      </c>
      <c r="B5" s="8" t="s">
        <v>14</v>
      </c>
      <c r="C5" s="9">
        <v>4500</v>
      </c>
      <c r="D5" s="10">
        <v>3893.85</v>
      </c>
      <c r="E5" s="9">
        <v>495</v>
      </c>
      <c r="F5" s="9">
        <v>22.25</v>
      </c>
      <c r="G5" s="9">
        <v>8.9</v>
      </c>
      <c r="H5" s="9">
        <v>80</v>
      </c>
      <c r="I5" s="9">
        <f t="shared" ref="I5:I13" si="2">SUM(I4,E5)</f>
        <v>1485</v>
      </c>
      <c r="J5" s="9">
        <f t="shared" si="1"/>
        <v>66.75</v>
      </c>
      <c r="K5" s="9">
        <f t="shared" si="1"/>
        <v>26.700000000000003</v>
      </c>
      <c r="L5" s="9">
        <f t="shared" si="1"/>
        <v>240</v>
      </c>
      <c r="M5" s="9">
        <v>585</v>
      </c>
      <c r="N5" s="9">
        <v>77.849999999999994</v>
      </c>
      <c r="O5" s="9">
        <v>8.9</v>
      </c>
      <c r="P5" s="11">
        <f t="shared" ref="P5:R13" si="3">SUM(P4,M5)</f>
        <v>1755</v>
      </c>
      <c r="Q5" s="12">
        <f t="shared" si="3"/>
        <v>233.54999999999998</v>
      </c>
      <c r="R5" s="12">
        <f t="shared" si="3"/>
        <v>26.700000000000003</v>
      </c>
    </row>
    <row r="6" spans="1:18" x14ac:dyDescent="0.3">
      <c r="A6" s="7">
        <v>2025</v>
      </c>
      <c r="B6" s="8" t="s">
        <v>15</v>
      </c>
      <c r="C6" s="9">
        <v>4500</v>
      </c>
      <c r="D6" s="10">
        <v>3893.85</v>
      </c>
      <c r="E6" s="9">
        <v>495</v>
      </c>
      <c r="F6" s="9">
        <v>22.25</v>
      </c>
      <c r="G6" s="9">
        <v>8.9</v>
      </c>
      <c r="H6" s="9">
        <v>80</v>
      </c>
      <c r="I6" s="9">
        <f t="shared" si="2"/>
        <v>1980</v>
      </c>
      <c r="J6" s="9">
        <f t="shared" si="1"/>
        <v>89</v>
      </c>
      <c r="K6" s="9">
        <f t="shared" si="1"/>
        <v>35.6</v>
      </c>
      <c r="L6" s="9">
        <f t="shared" si="1"/>
        <v>320</v>
      </c>
      <c r="M6" s="9">
        <v>585</v>
      </c>
      <c r="N6" s="9">
        <v>77.849999999999994</v>
      </c>
      <c r="O6" s="9">
        <v>8.9</v>
      </c>
      <c r="P6" s="11">
        <f t="shared" si="3"/>
        <v>2340</v>
      </c>
      <c r="Q6" s="12">
        <f t="shared" si="3"/>
        <v>311.39999999999998</v>
      </c>
      <c r="R6" s="12">
        <f t="shared" si="3"/>
        <v>35.6</v>
      </c>
    </row>
    <row r="7" spans="1:18" x14ac:dyDescent="0.3">
      <c r="A7" s="7">
        <v>2025</v>
      </c>
      <c r="B7" s="8" t="s">
        <v>16</v>
      </c>
      <c r="C7" s="9">
        <v>4500</v>
      </c>
      <c r="D7" s="10">
        <v>3893.85</v>
      </c>
      <c r="E7" s="9">
        <v>495</v>
      </c>
      <c r="F7" s="9">
        <v>22.25</v>
      </c>
      <c r="G7" s="9">
        <v>8.9</v>
      </c>
      <c r="H7" s="9">
        <v>80</v>
      </c>
      <c r="I7" s="9">
        <f t="shared" si="2"/>
        <v>2475</v>
      </c>
      <c r="J7" s="9">
        <f t="shared" si="1"/>
        <v>111.25</v>
      </c>
      <c r="K7" s="9">
        <f t="shared" si="1"/>
        <v>44.5</v>
      </c>
      <c r="L7" s="9">
        <f t="shared" si="1"/>
        <v>400</v>
      </c>
      <c r="M7" s="9">
        <v>585</v>
      </c>
      <c r="N7" s="9">
        <v>77.849999999999994</v>
      </c>
      <c r="O7" s="9">
        <v>8.9</v>
      </c>
      <c r="P7" s="11">
        <f t="shared" si="3"/>
        <v>2925</v>
      </c>
      <c r="Q7" s="12">
        <f t="shared" si="3"/>
        <v>389.25</v>
      </c>
      <c r="R7" s="12">
        <f t="shared" si="3"/>
        <v>44.5</v>
      </c>
    </row>
    <row r="8" spans="1:18" x14ac:dyDescent="0.3">
      <c r="A8" s="7">
        <v>2025</v>
      </c>
      <c r="B8" s="8" t="s">
        <v>17</v>
      </c>
      <c r="C8" s="9">
        <v>4500</v>
      </c>
      <c r="D8" s="10">
        <v>3893.85</v>
      </c>
      <c r="E8" s="9">
        <v>495</v>
      </c>
      <c r="F8" s="9">
        <v>22.25</v>
      </c>
      <c r="G8" s="9">
        <v>8.9</v>
      </c>
      <c r="H8" s="9">
        <v>80</v>
      </c>
      <c r="I8" s="9">
        <f t="shared" si="2"/>
        <v>2970</v>
      </c>
      <c r="J8" s="9">
        <f t="shared" si="1"/>
        <v>133.5</v>
      </c>
      <c r="K8" s="9">
        <f t="shared" si="1"/>
        <v>53.4</v>
      </c>
      <c r="L8" s="9">
        <f t="shared" si="1"/>
        <v>480</v>
      </c>
      <c r="M8" s="9">
        <v>585</v>
      </c>
      <c r="N8" s="9">
        <v>77.849999999999994</v>
      </c>
      <c r="O8" s="9">
        <v>8.9</v>
      </c>
      <c r="P8" s="11">
        <f t="shared" si="3"/>
        <v>3510</v>
      </c>
      <c r="Q8" s="12">
        <f t="shared" si="3"/>
        <v>467.1</v>
      </c>
      <c r="R8" s="12">
        <f t="shared" si="3"/>
        <v>53.4</v>
      </c>
    </row>
    <row r="9" spans="1:18" x14ac:dyDescent="0.3">
      <c r="A9" s="7">
        <v>2025</v>
      </c>
      <c r="B9" s="8" t="s">
        <v>18</v>
      </c>
      <c r="C9" s="9">
        <v>4500</v>
      </c>
      <c r="D9" s="10">
        <v>3893.85</v>
      </c>
      <c r="E9" s="9">
        <v>495</v>
      </c>
      <c r="F9" s="9">
        <v>22.25</v>
      </c>
      <c r="G9" s="9">
        <v>8.9</v>
      </c>
      <c r="H9" s="9">
        <v>80</v>
      </c>
      <c r="I9" s="9">
        <f t="shared" si="2"/>
        <v>3465</v>
      </c>
      <c r="J9" s="9">
        <f t="shared" si="1"/>
        <v>155.75</v>
      </c>
      <c r="K9" s="9">
        <f t="shared" si="1"/>
        <v>62.3</v>
      </c>
      <c r="L9" s="9">
        <f t="shared" si="1"/>
        <v>560</v>
      </c>
      <c r="M9" s="9">
        <v>585</v>
      </c>
      <c r="N9" s="9">
        <v>77.849999999999994</v>
      </c>
      <c r="O9" s="9">
        <v>8.9</v>
      </c>
      <c r="P9" s="11">
        <f t="shared" si="3"/>
        <v>4095</v>
      </c>
      <c r="Q9" s="12">
        <f t="shared" si="3"/>
        <v>544.95000000000005</v>
      </c>
      <c r="R9" s="12">
        <f t="shared" si="3"/>
        <v>62.3</v>
      </c>
    </row>
    <row r="10" spans="1:18" x14ac:dyDescent="0.3">
      <c r="A10" s="7">
        <v>2025</v>
      </c>
      <c r="B10" s="8" t="s">
        <v>19</v>
      </c>
      <c r="C10" s="9">
        <v>4500</v>
      </c>
      <c r="D10" s="10">
        <v>3893.85</v>
      </c>
      <c r="E10" s="9">
        <v>495</v>
      </c>
      <c r="F10" s="9">
        <v>22.25</v>
      </c>
      <c r="G10" s="9">
        <v>8.9</v>
      </c>
      <c r="H10" s="9">
        <v>80</v>
      </c>
      <c r="I10" s="9">
        <f t="shared" si="2"/>
        <v>3960</v>
      </c>
      <c r="J10" s="9">
        <f t="shared" si="1"/>
        <v>178</v>
      </c>
      <c r="K10" s="9">
        <f t="shared" si="1"/>
        <v>71.2</v>
      </c>
      <c r="L10" s="9">
        <f t="shared" si="1"/>
        <v>640</v>
      </c>
      <c r="M10" s="9">
        <v>585</v>
      </c>
      <c r="N10" s="9">
        <v>77.849999999999994</v>
      </c>
      <c r="O10" s="9">
        <v>8.9</v>
      </c>
      <c r="P10" s="11">
        <f t="shared" si="3"/>
        <v>4680</v>
      </c>
      <c r="Q10" s="12">
        <f t="shared" si="3"/>
        <v>622.80000000000007</v>
      </c>
      <c r="R10" s="12">
        <f t="shared" si="3"/>
        <v>71.2</v>
      </c>
    </row>
    <row r="11" spans="1:18" x14ac:dyDescent="0.3">
      <c r="A11" s="7">
        <v>2025</v>
      </c>
      <c r="B11" s="8" t="s">
        <v>20</v>
      </c>
      <c r="C11" s="9">
        <v>4900</v>
      </c>
      <c r="D11" s="9">
        <v>4223.05</v>
      </c>
      <c r="E11" s="9">
        <v>539</v>
      </c>
      <c r="F11" s="9">
        <v>24.25</v>
      </c>
      <c r="G11" s="9">
        <v>9.6999999999999993</v>
      </c>
      <c r="H11" s="9">
        <v>104</v>
      </c>
      <c r="I11" s="9">
        <f t="shared" si="2"/>
        <v>4499</v>
      </c>
      <c r="J11" s="9">
        <f t="shared" si="1"/>
        <v>202.25</v>
      </c>
      <c r="K11" s="9">
        <f t="shared" si="1"/>
        <v>80.900000000000006</v>
      </c>
      <c r="L11" s="14">
        <f t="shared" si="1"/>
        <v>744</v>
      </c>
      <c r="M11" s="14">
        <v>637</v>
      </c>
      <c r="N11" s="14">
        <v>84.85</v>
      </c>
      <c r="O11" s="14">
        <v>9.6999999999999993</v>
      </c>
      <c r="P11" s="11">
        <f t="shared" si="3"/>
        <v>5317</v>
      </c>
      <c r="Q11" s="12">
        <f t="shared" si="3"/>
        <v>707.65000000000009</v>
      </c>
      <c r="R11" s="12">
        <f t="shared" si="3"/>
        <v>80.900000000000006</v>
      </c>
    </row>
    <row r="12" spans="1:18" x14ac:dyDescent="0.3">
      <c r="A12" s="7">
        <v>2025</v>
      </c>
      <c r="B12" s="8" t="s">
        <v>21</v>
      </c>
      <c r="C12" s="9">
        <v>4900</v>
      </c>
      <c r="D12" s="9">
        <v>4223.05</v>
      </c>
      <c r="E12" s="9">
        <v>539</v>
      </c>
      <c r="F12" s="9">
        <v>24.25</v>
      </c>
      <c r="G12" s="9">
        <v>9.6999999999999993</v>
      </c>
      <c r="H12" s="9">
        <v>104</v>
      </c>
      <c r="I12" s="9">
        <f t="shared" si="2"/>
        <v>5038</v>
      </c>
      <c r="J12" s="9">
        <f t="shared" si="1"/>
        <v>226.5</v>
      </c>
      <c r="K12" s="9">
        <f t="shared" si="1"/>
        <v>90.600000000000009</v>
      </c>
      <c r="L12" s="14">
        <f t="shared" si="1"/>
        <v>848</v>
      </c>
      <c r="M12" s="14">
        <v>637</v>
      </c>
      <c r="N12" s="14">
        <v>84.85</v>
      </c>
      <c r="O12" s="14">
        <v>9.6999999999999993</v>
      </c>
      <c r="P12" s="11">
        <f t="shared" si="3"/>
        <v>5954</v>
      </c>
      <c r="Q12" s="12">
        <f t="shared" si="3"/>
        <v>792.50000000000011</v>
      </c>
      <c r="R12" s="12">
        <f t="shared" si="3"/>
        <v>90.600000000000009</v>
      </c>
    </row>
    <row r="13" spans="1:18" x14ac:dyDescent="0.3">
      <c r="A13" s="7">
        <v>2025</v>
      </c>
      <c r="B13" s="8" t="s">
        <v>22</v>
      </c>
      <c r="C13" s="9">
        <v>4900</v>
      </c>
      <c r="D13" s="9">
        <v>4223.05</v>
      </c>
      <c r="E13" s="9">
        <v>539</v>
      </c>
      <c r="F13" s="9">
        <v>24.25</v>
      </c>
      <c r="G13" s="9">
        <v>9.6999999999999993</v>
      </c>
      <c r="H13" s="9">
        <v>104</v>
      </c>
      <c r="I13" s="9">
        <f t="shared" si="2"/>
        <v>5577</v>
      </c>
      <c r="J13" s="9">
        <f t="shared" si="1"/>
        <v>250.75</v>
      </c>
      <c r="K13" s="9">
        <f t="shared" si="1"/>
        <v>100.30000000000001</v>
      </c>
      <c r="L13" s="14">
        <f t="shared" si="1"/>
        <v>952</v>
      </c>
      <c r="M13" s="14">
        <v>637</v>
      </c>
      <c r="N13" s="14">
        <v>84.85</v>
      </c>
      <c r="O13" s="14">
        <v>9.6999999999999993</v>
      </c>
      <c r="P13" s="11">
        <f t="shared" si="3"/>
        <v>6591</v>
      </c>
      <c r="Q13" s="12">
        <f t="shared" si="3"/>
        <v>877.35000000000014</v>
      </c>
      <c r="R13" s="12">
        <f t="shared" si="3"/>
        <v>100.30000000000001</v>
      </c>
    </row>
    <row r="14" spans="1:18" s="23" customFormat="1" x14ac:dyDescent="0.3">
      <c r="A14" s="15" t="s">
        <v>23</v>
      </c>
      <c r="B14" s="16"/>
      <c r="C14" s="17">
        <f>SUM(C3:C13)</f>
        <v>50700</v>
      </c>
      <c r="D14" s="18">
        <f>SUM(D3:D13)</f>
        <v>43819.950000000004</v>
      </c>
      <c r="E14" s="19">
        <f>SUM(E3:E13)</f>
        <v>5577</v>
      </c>
      <c r="F14" s="19">
        <f t="shared" ref="F14:H14" si="4">SUM(F3:F13)</f>
        <v>250.75</v>
      </c>
      <c r="G14" s="19">
        <f t="shared" si="4"/>
        <v>100.30000000000001</v>
      </c>
      <c r="H14" s="19">
        <f t="shared" si="4"/>
        <v>952</v>
      </c>
      <c r="I14" s="20"/>
      <c r="J14" s="21"/>
      <c r="K14" s="21"/>
      <c r="L14" s="22"/>
      <c r="M14" s="19">
        <f>SUM(M3:M13)</f>
        <v>6591</v>
      </c>
      <c r="N14" s="19">
        <f t="shared" ref="N14:O14" si="5">SUM(N3:N13)</f>
        <v>877.35000000000014</v>
      </c>
      <c r="O14" s="19">
        <f t="shared" si="5"/>
        <v>100.30000000000001</v>
      </c>
      <c r="P14" s="20"/>
      <c r="Q14" s="21"/>
      <c r="R14" s="22"/>
    </row>
    <row r="23" spans="10:16" x14ac:dyDescent="0.3">
      <c r="J23" s="24"/>
      <c r="K23" s="24"/>
      <c r="L23" s="24"/>
      <c r="M23" s="24"/>
      <c r="N23" s="24"/>
      <c r="O23" s="24"/>
      <c r="P23" s="24"/>
    </row>
    <row r="24" spans="10:16" x14ac:dyDescent="0.3">
      <c r="J24" s="24"/>
      <c r="K24" s="24"/>
      <c r="L24" s="24"/>
      <c r="M24" s="24"/>
      <c r="N24" s="24"/>
      <c r="O24" s="24"/>
      <c r="P24" s="24"/>
    </row>
    <row r="25" spans="10:16" x14ac:dyDescent="0.3">
      <c r="J25" s="24"/>
      <c r="K25" s="24"/>
      <c r="L25" s="24"/>
      <c r="M25" s="24"/>
      <c r="N25" s="24"/>
      <c r="O25" s="24"/>
      <c r="P25" s="24"/>
    </row>
    <row r="26" spans="10:16" x14ac:dyDescent="0.3">
      <c r="J26" s="24"/>
      <c r="K26" s="24"/>
      <c r="L26" s="24"/>
      <c r="M26" s="24"/>
      <c r="N26" s="24"/>
      <c r="O26" s="24"/>
      <c r="P26" s="24"/>
    </row>
    <row r="27" spans="10:16" x14ac:dyDescent="0.3">
      <c r="J27" s="24"/>
      <c r="K27" s="24"/>
      <c r="L27" s="24"/>
      <c r="M27" s="24"/>
      <c r="N27" s="24"/>
      <c r="O27" s="24"/>
      <c r="P27" s="24"/>
    </row>
    <row r="28" spans="10:16" x14ac:dyDescent="0.3">
      <c r="J28" s="24"/>
      <c r="K28" s="24"/>
      <c r="L28" s="24"/>
      <c r="M28" s="24"/>
      <c r="N28" s="24"/>
      <c r="O28" s="24"/>
      <c r="P28" s="24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2026-02-12T08:55:59Z</dcterms:created>
  <dcterms:modified xsi:type="dcterms:W3CDTF">2026-02-12T08:56:27Z</dcterms:modified>
</cp:coreProperties>
</file>