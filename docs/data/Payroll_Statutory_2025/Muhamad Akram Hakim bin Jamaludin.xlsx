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ziq\Averroes Data Science\Company\Velarix Technology Sdn Bhd\HR\Payslip\Statutory 2025\"/>
    </mc:Choice>
  </mc:AlternateContent>
  <xr:revisionPtr revIDLastSave="0" documentId="13_ncr:1_{6DC4C42A-A661-471B-BB6A-B7DF34C89B6E}" xr6:coauthVersionLast="47" xr6:coauthVersionMax="47" xr10:uidLastSave="{00000000-0000-0000-0000-000000000000}"/>
  <bookViews>
    <workbookView xWindow="-108" yWindow="-108" windowWidth="23256" windowHeight="12456" xr2:uid="{5EB6A495-7700-48CF-A1E5-B50AF94CB8C1}"/>
  </bookViews>
  <sheets>
    <sheet name="Deducti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1" l="1"/>
  <c r="N14" i="1"/>
  <c r="M14" i="1"/>
  <c r="H14" i="1"/>
  <c r="G14" i="1"/>
  <c r="F14" i="1"/>
  <c r="E14" i="1"/>
  <c r="D13" i="1"/>
  <c r="D12" i="1"/>
  <c r="D11" i="1"/>
  <c r="D10" i="1"/>
  <c r="D9" i="1"/>
  <c r="D8" i="1"/>
  <c r="D7" i="1"/>
  <c r="D6" i="1"/>
  <c r="D5" i="1"/>
  <c r="R4" i="1"/>
  <c r="R5" i="1" s="1"/>
  <c r="R6" i="1" s="1"/>
  <c r="R7" i="1" s="1"/>
  <c r="R8" i="1" s="1"/>
  <c r="R9" i="1" s="1"/>
  <c r="R10" i="1" s="1"/>
  <c r="R11" i="1" s="1"/>
  <c r="R12" i="1" s="1"/>
  <c r="R13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P4" i="1"/>
  <c r="P5" i="1" s="1"/>
  <c r="P6" i="1" s="1"/>
  <c r="P7" i="1" s="1"/>
  <c r="P8" i="1" s="1"/>
  <c r="P9" i="1" s="1"/>
  <c r="P10" i="1" s="1"/>
  <c r="P11" i="1" s="1"/>
  <c r="P12" i="1" s="1"/>
  <c r="P13" i="1" s="1"/>
  <c r="L4" i="1"/>
  <c r="L5" i="1" s="1"/>
  <c r="L6" i="1" s="1"/>
  <c r="L7" i="1" s="1"/>
  <c r="L8" i="1" s="1"/>
  <c r="L9" i="1" s="1"/>
  <c r="L10" i="1" s="1"/>
  <c r="L11" i="1" s="1"/>
  <c r="L12" i="1" s="1"/>
  <c r="L13" i="1" s="1"/>
  <c r="D4" i="1"/>
  <c r="R3" i="1"/>
  <c r="Q3" i="1"/>
  <c r="P3" i="1"/>
  <c r="L3" i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J3" i="1"/>
  <c r="J4" i="1" s="1"/>
  <c r="J5" i="1" s="1"/>
  <c r="J6" i="1" s="1"/>
  <c r="J7" i="1" s="1"/>
  <c r="J8" i="1" s="1"/>
  <c r="J9" i="1" s="1"/>
  <c r="J10" i="1" s="1"/>
  <c r="J11" i="1" s="1"/>
  <c r="J12" i="1" s="1"/>
  <c r="J13" i="1" s="1"/>
  <c r="I3" i="1"/>
  <c r="I4" i="1" s="1"/>
  <c r="I5" i="1" s="1"/>
  <c r="I6" i="1" s="1"/>
  <c r="I7" i="1" s="1"/>
  <c r="I8" i="1" s="1"/>
  <c r="I9" i="1" s="1"/>
  <c r="I10" i="1" s="1"/>
  <c r="I11" i="1" s="1"/>
  <c r="I12" i="1" s="1"/>
  <c r="I13" i="1" s="1"/>
  <c r="D3" i="1"/>
  <c r="D14" i="1" s="1"/>
</calcChain>
</file>

<file path=xl/sharedStrings.xml><?xml version="1.0" encoding="utf-8"?>
<sst xmlns="http://schemas.openxmlformats.org/spreadsheetml/2006/main" count="34" uniqueCount="24">
  <si>
    <t>Year</t>
  </si>
  <si>
    <t>Month</t>
  </si>
  <si>
    <t>Salary</t>
  </si>
  <si>
    <t>Net Salary</t>
  </si>
  <si>
    <t>Deduction Employee</t>
  </si>
  <si>
    <t>YTD Employee</t>
  </si>
  <si>
    <t>Deduction Employer</t>
  </si>
  <si>
    <t>YTD Employer</t>
  </si>
  <si>
    <t>EPF</t>
  </si>
  <si>
    <t>Socso</t>
  </si>
  <si>
    <t>EIS</t>
  </si>
  <si>
    <t>Income Tax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</si>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</sst>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Times New Roman"/>
      <charset val="204"/>
    </font>
    <font>
      <b/>
      <sz val="10"/>
      <color rgb="FF000000"/>
      <name val="Inter"/>
      <family val="3"/>
    </font>
    <font>
      <sz val="10"/>
      <color rgb="FF000000"/>
      <name val="Inter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right" vertical="top"/>
    </xf>
    <xf numFmtId="0" fontId="2" fillId="0" borderId="0" xfId="0" applyFont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right" vertical="top"/>
    </xf>
    <xf numFmtId="0" fontId="2" fillId="0" borderId="4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1" fillId="0" borderId="7" xfId="0" applyFont="1" applyBorder="1" applyAlignment="1">
      <alignment horizontal="right" vertical="top"/>
    </xf>
    <xf numFmtId="0" fontId="1" fillId="0" borderId="8" xfId="0" applyFont="1" applyBorder="1" applyAlignment="1">
      <alignment horizontal="right" vertical="top"/>
    </xf>
    <xf numFmtId="0" fontId="1" fillId="0" borderId="1" xfId="0" applyFont="1" applyBorder="1" applyAlignment="1">
      <alignment horizontal="right" vertical="top"/>
    </xf>
    <xf numFmtId="0" fontId="1" fillId="0" borderId="9" xfId="0" applyFont="1" applyBorder="1" applyAlignment="1">
      <alignment horizontal="right" vertical="top"/>
    </xf>
    <xf numFmtId="0" fontId="1" fillId="0" borderId="10" xfId="0" applyFont="1" applyBorder="1" applyAlignment="1">
      <alignment horizontal="right" vertical="top"/>
    </xf>
    <xf numFmtId="0" fontId="1" fillId="2" borderId="7" xfId="0" applyFont="1" applyFill="1" applyBorder="1" applyAlignment="1">
      <alignment horizontal="center" vertical="top"/>
    </xf>
    <xf numFmtId="0" fontId="1" fillId="2" borderId="8" xfId="0" applyFont="1" applyFill="1" applyBorder="1" applyAlignment="1">
      <alignment horizontal="center" vertical="top"/>
    </xf>
    <xf numFmtId="0" fontId="1" fillId="2" borderId="9" xfId="0" applyFont="1" applyFill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747F4-A070-4441-AB9A-CD07CDAE6A63}">
  <dimension ref="A1:R24"/>
  <sheetViews>
    <sheetView tabSelected="1" workbookViewId="0">
      <selection activeCell="D18" sqref="D18"/>
    </sheetView>
  </sheetViews>
  <sheetFormatPr defaultRowHeight="13.2" x14ac:dyDescent="0.25"/>
  <cols>
    <col min="1" max="3" width="8.88671875" style="8"/>
    <col min="4" max="4" width="11.44140625" style="8" customWidth="1"/>
    <col min="5" max="5" width="14.109375" style="8" bestFit="1" customWidth="1"/>
    <col min="6" max="7" width="8.88671875" style="8"/>
    <col min="8" max="8" width="11.33203125" style="8" bestFit="1" customWidth="1"/>
    <col min="9" max="9" width="14.109375" style="8" bestFit="1" customWidth="1"/>
    <col min="10" max="11" width="8.88671875" style="8"/>
    <col min="12" max="12" width="11.33203125" style="8" bestFit="1" customWidth="1"/>
    <col min="13" max="13" width="13.6640625" style="8" bestFit="1" customWidth="1"/>
    <col min="14" max="15" width="8.88671875" style="8"/>
    <col min="16" max="16" width="13.6640625" style="8" bestFit="1" customWidth="1"/>
    <col min="17" max="16384" width="8.88671875" style="8"/>
  </cols>
  <sheetData>
    <row r="1" spans="1:18" s="3" customForma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/>
      <c r="G1" s="1"/>
      <c r="H1" s="1"/>
      <c r="I1" s="1" t="s">
        <v>5</v>
      </c>
      <c r="J1" s="1"/>
      <c r="K1" s="1"/>
      <c r="L1" s="1"/>
      <c r="M1" s="1" t="s">
        <v>6</v>
      </c>
      <c r="N1" s="1"/>
      <c r="O1" s="1"/>
      <c r="P1" s="1" t="s">
        <v>7</v>
      </c>
      <c r="Q1" s="1"/>
      <c r="R1" s="1"/>
    </row>
    <row r="2" spans="1:18" s="3" customFormat="1" x14ac:dyDescent="0.25">
      <c r="A2" s="1"/>
      <c r="B2" s="1"/>
      <c r="C2" s="4"/>
      <c r="D2" s="4"/>
      <c r="E2" s="5" t="s">
        <v>8</v>
      </c>
      <c r="F2" s="5" t="s">
        <v>9</v>
      </c>
      <c r="G2" s="5" t="s">
        <v>10</v>
      </c>
      <c r="H2" s="5" t="s">
        <v>11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8</v>
      </c>
      <c r="N2" s="5" t="s">
        <v>9</v>
      </c>
      <c r="O2" s="5" t="s">
        <v>10</v>
      </c>
      <c r="P2" s="5" t="s">
        <v>8</v>
      </c>
      <c r="Q2" s="5" t="s">
        <v>9</v>
      </c>
      <c r="R2" s="5" t="s">
        <v>10</v>
      </c>
    </row>
    <row r="3" spans="1:18" x14ac:dyDescent="0.25">
      <c r="A3" s="6">
        <v>2025</v>
      </c>
      <c r="B3" s="6" t="s">
        <v>12</v>
      </c>
      <c r="C3" s="6">
        <v>7000</v>
      </c>
      <c r="D3" s="6">
        <f>C3-SUM(E3:H3)</f>
        <v>5864.15</v>
      </c>
      <c r="E3" s="7">
        <v>770</v>
      </c>
      <c r="F3" s="7">
        <v>29.75</v>
      </c>
      <c r="G3" s="7">
        <v>11.9</v>
      </c>
      <c r="H3" s="7">
        <v>324.2</v>
      </c>
      <c r="I3" s="7">
        <f>SUM(I2,E3)</f>
        <v>770</v>
      </c>
      <c r="J3" s="7">
        <f t="shared" ref="J3:L13" si="0">SUM(J2,F3)</f>
        <v>29.75</v>
      </c>
      <c r="K3" s="7">
        <f t="shared" si="0"/>
        <v>11.9</v>
      </c>
      <c r="L3" s="7">
        <f t="shared" si="0"/>
        <v>324.2</v>
      </c>
      <c r="M3" s="7">
        <v>840</v>
      </c>
      <c r="N3" s="7">
        <v>104.15</v>
      </c>
      <c r="O3" s="7">
        <v>11.9</v>
      </c>
      <c r="P3" s="7">
        <f t="shared" ref="P3:R13" si="1">SUM(P2,M3)</f>
        <v>840</v>
      </c>
      <c r="Q3" s="7">
        <f t="shared" si="1"/>
        <v>104.15</v>
      </c>
      <c r="R3" s="7">
        <f t="shared" si="1"/>
        <v>11.9</v>
      </c>
    </row>
    <row r="4" spans="1:18" x14ac:dyDescent="0.25">
      <c r="A4" s="6">
        <v>2025</v>
      </c>
      <c r="B4" s="6" t="s">
        <v>13</v>
      </c>
      <c r="C4" s="6">
        <v>7000</v>
      </c>
      <c r="D4" s="6">
        <f t="shared" ref="D4:D13" si="2">C4-SUM(E4:H4)</f>
        <v>5864.15</v>
      </c>
      <c r="E4" s="7">
        <v>770</v>
      </c>
      <c r="F4" s="7">
        <v>29.75</v>
      </c>
      <c r="G4" s="7">
        <v>11.9</v>
      </c>
      <c r="H4" s="7">
        <v>324.2</v>
      </c>
      <c r="I4" s="7">
        <f>SUM(I3,E4)</f>
        <v>1540</v>
      </c>
      <c r="J4" s="7">
        <f t="shared" si="0"/>
        <v>59.5</v>
      </c>
      <c r="K4" s="7">
        <f t="shared" si="0"/>
        <v>23.8</v>
      </c>
      <c r="L4" s="7">
        <f t="shared" si="0"/>
        <v>648.4</v>
      </c>
      <c r="M4" s="7">
        <v>840</v>
      </c>
      <c r="N4" s="7">
        <v>104.15</v>
      </c>
      <c r="O4" s="7">
        <v>11.9</v>
      </c>
      <c r="P4" s="7">
        <f t="shared" si="1"/>
        <v>1680</v>
      </c>
      <c r="Q4" s="7">
        <f t="shared" si="1"/>
        <v>208.3</v>
      </c>
      <c r="R4" s="7">
        <f t="shared" si="1"/>
        <v>23.8</v>
      </c>
    </row>
    <row r="5" spans="1:18" x14ac:dyDescent="0.25">
      <c r="A5" s="6">
        <v>2025</v>
      </c>
      <c r="B5" s="6" t="s">
        <v>14</v>
      </c>
      <c r="C5" s="6">
        <v>7000</v>
      </c>
      <c r="D5" s="6">
        <f t="shared" si="2"/>
        <v>5864.15</v>
      </c>
      <c r="E5" s="7">
        <v>770</v>
      </c>
      <c r="F5" s="7">
        <v>29.75</v>
      </c>
      <c r="G5" s="7">
        <v>11.9</v>
      </c>
      <c r="H5" s="7">
        <v>324.2</v>
      </c>
      <c r="I5" s="7">
        <f t="shared" ref="I5:I13" si="3">SUM(I4,E5)</f>
        <v>2310</v>
      </c>
      <c r="J5" s="7">
        <f t="shared" si="0"/>
        <v>89.25</v>
      </c>
      <c r="K5" s="7">
        <f t="shared" si="0"/>
        <v>35.700000000000003</v>
      </c>
      <c r="L5" s="7">
        <f t="shared" si="0"/>
        <v>972.59999999999991</v>
      </c>
      <c r="M5" s="7">
        <v>840</v>
      </c>
      <c r="N5" s="7">
        <v>104.15</v>
      </c>
      <c r="O5" s="7">
        <v>11.9</v>
      </c>
      <c r="P5" s="7">
        <f t="shared" si="1"/>
        <v>2520</v>
      </c>
      <c r="Q5" s="7">
        <f t="shared" si="1"/>
        <v>312.45000000000005</v>
      </c>
      <c r="R5" s="7">
        <f t="shared" si="1"/>
        <v>35.700000000000003</v>
      </c>
    </row>
    <row r="6" spans="1:18" x14ac:dyDescent="0.25">
      <c r="A6" s="6">
        <v>2025</v>
      </c>
      <c r="B6" s="6" t="s">
        <v>15</v>
      </c>
      <c r="C6" s="6">
        <v>7000</v>
      </c>
      <c r="D6" s="6">
        <f t="shared" si="2"/>
        <v>5864.15</v>
      </c>
      <c r="E6" s="7">
        <v>770</v>
      </c>
      <c r="F6" s="7">
        <v>29.75</v>
      </c>
      <c r="G6" s="7">
        <v>11.9</v>
      </c>
      <c r="H6" s="7">
        <v>324.2</v>
      </c>
      <c r="I6" s="7">
        <f t="shared" si="3"/>
        <v>3080</v>
      </c>
      <c r="J6" s="7">
        <f t="shared" si="0"/>
        <v>119</v>
      </c>
      <c r="K6" s="7">
        <f t="shared" si="0"/>
        <v>47.6</v>
      </c>
      <c r="L6" s="7">
        <f t="shared" si="0"/>
        <v>1296.8</v>
      </c>
      <c r="M6" s="7">
        <v>840</v>
      </c>
      <c r="N6" s="7">
        <v>104.15</v>
      </c>
      <c r="O6" s="7">
        <v>11.9</v>
      </c>
      <c r="P6" s="7">
        <f t="shared" si="1"/>
        <v>3360</v>
      </c>
      <c r="Q6" s="7">
        <f t="shared" si="1"/>
        <v>416.6</v>
      </c>
      <c r="R6" s="7">
        <f t="shared" si="1"/>
        <v>47.6</v>
      </c>
    </row>
    <row r="7" spans="1:18" x14ac:dyDescent="0.25">
      <c r="A7" s="6">
        <v>2025</v>
      </c>
      <c r="B7" s="6" t="s">
        <v>16</v>
      </c>
      <c r="C7" s="6">
        <v>7000</v>
      </c>
      <c r="D7" s="6">
        <f t="shared" si="2"/>
        <v>5864.15</v>
      </c>
      <c r="E7" s="7">
        <v>770</v>
      </c>
      <c r="F7" s="7">
        <v>29.75</v>
      </c>
      <c r="G7" s="7">
        <v>11.9</v>
      </c>
      <c r="H7" s="7">
        <v>324.2</v>
      </c>
      <c r="I7" s="7">
        <f t="shared" si="3"/>
        <v>3850</v>
      </c>
      <c r="J7" s="7">
        <f t="shared" si="0"/>
        <v>148.75</v>
      </c>
      <c r="K7" s="7">
        <f t="shared" si="0"/>
        <v>59.5</v>
      </c>
      <c r="L7" s="7">
        <f t="shared" si="0"/>
        <v>1621</v>
      </c>
      <c r="M7" s="7">
        <v>840</v>
      </c>
      <c r="N7" s="7">
        <v>104.15</v>
      </c>
      <c r="O7" s="7">
        <v>11.9</v>
      </c>
      <c r="P7" s="7">
        <f t="shared" si="1"/>
        <v>4200</v>
      </c>
      <c r="Q7" s="7">
        <f t="shared" si="1"/>
        <v>520.75</v>
      </c>
      <c r="R7" s="7">
        <f t="shared" si="1"/>
        <v>59.5</v>
      </c>
    </row>
    <row r="8" spans="1:18" x14ac:dyDescent="0.25">
      <c r="A8" s="6">
        <v>2025</v>
      </c>
      <c r="B8" s="6" t="s">
        <v>17</v>
      </c>
      <c r="C8" s="6">
        <v>7000</v>
      </c>
      <c r="D8" s="6">
        <f t="shared" si="2"/>
        <v>5864.15</v>
      </c>
      <c r="E8" s="7">
        <v>770</v>
      </c>
      <c r="F8" s="7">
        <v>29.75</v>
      </c>
      <c r="G8" s="7">
        <v>11.9</v>
      </c>
      <c r="H8" s="7">
        <v>324.2</v>
      </c>
      <c r="I8" s="7">
        <f t="shared" si="3"/>
        <v>4620</v>
      </c>
      <c r="J8" s="7">
        <f t="shared" si="0"/>
        <v>178.5</v>
      </c>
      <c r="K8" s="7">
        <f t="shared" si="0"/>
        <v>71.400000000000006</v>
      </c>
      <c r="L8" s="7">
        <f t="shared" si="0"/>
        <v>1945.2</v>
      </c>
      <c r="M8" s="7">
        <v>840</v>
      </c>
      <c r="N8" s="7">
        <v>104.15</v>
      </c>
      <c r="O8" s="7">
        <v>11.9</v>
      </c>
      <c r="P8" s="7">
        <f t="shared" si="1"/>
        <v>5040</v>
      </c>
      <c r="Q8" s="7">
        <f t="shared" si="1"/>
        <v>624.9</v>
      </c>
      <c r="R8" s="7">
        <f t="shared" si="1"/>
        <v>71.400000000000006</v>
      </c>
    </row>
    <row r="9" spans="1:18" x14ac:dyDescent="0.25">
      <c r="A9" s="6">
        <v>2025</v>
      </c>
      <c r="B9" s="6" t="s">
        <v>18</v>
      </c>
      <c r="C9" s="6">
        <v>7000</v>
      </c>
      <c r="D9" s="6">
        <f t="shared" si="2"/>
        <v>5864.15</v>
      </c>
      <c r="E9" s="7">
        <v>770</v>
      </c>
      <c r="F9" s="7">
        <v>29.75</v>
      </c>
      <c r="G9" s="7">
        <v>11.9</v>
      </c>
      <c r="H9" s="7">
        <v>324.2</v>
      </c>
      <c r="I9" s="7">
        <f t="shared" si="3"/>
        <v>5390</v>
      </c>
      <c r="J9" s="7">
        <f t="shared" si="0"/>
        <v>208.25</v>
      </c>
      <c r="K9" s="7">
        <f t="shared" si="0"/>
        <v>83.300000000000011</v>
      </c>
      <c r="L9" s="7">
        <f t="shared" si="0"/>
        <v>2269.4</v>
      </c>
      <c r="M9" s="7">
        <v>840</v>
      </c>
      <c r="N9" s="7">
        <v>104.15</v>
      </c>
      <c r="O9" s="7">
        <v>11.9</v>
      </c>
      <c r="P9" s="7">
        <f t="shared" si="1"/>
        <v>5880</v>
      </c>
      <c r="Q9" s="7">
        <f t="shared" si="1"/>
        <v>729.05</v>
      </c>
      <c r="R9" s="7">
        <f t="shared" si="1"/>
        <v>83.300000000000011</v>
      </c>
    </row>
    <row r="10" spans="1:18" x14ac:dyDescent="0.25">
      <c r="A10" s="6">
        <v>2025</v>
      </c>
      <c r="B10" s="6" t="s">
        <v>19</v>
      </c>
      <c r="C10" s="6">
        <v>7000</v>
      </c>
      <c r="D10" s="6">
        <f t="shared" si="2"/>
        <v>5864.15</v>
      </c>
      <c r="E10" s="7">
        <v>770</v>
      </c>
      <c r="F10" s="7">
        <v>29.75</v>
      </c>
      <c r="G10" s="7">
        <v>11.9</v>
      </c>
      <c r="H10" s="7">
        <v>324.2</v>
      </c>
      <c r="I10" s="7">
        <f t="shared" si="3"/>
        <v>6160</v>
      </c>
      <c r="J10" s="7">
        <f t="shared" si="0"/>
        <v>238</v>
      </c>
      <c r="K10" s="7">
        <f t="shared" si="0"/>
        <v>95.200000000000017</v>
      </c>
      <c r="L10" s="7">
        <f t="shared" si="0"/>
        <v>2593.6</v>
      </c>
      <c r="M10" s="7">
        <v>840</v>
      </c>
      <c r="N10" s="7">
        <v>104.15</v>
      </c>
      <c r="O10" s="7">
        <v>11.9</v>
      </c>
      <c r="P10" s="7">
        <f t="shared" si="1"/>
        <v>6720</v>
      </c>
      <c r="Q10" s="7">
        <f t="shared" si="1"/>
        <v>833.19999999999993</v>
      </c>
      <c r="R10" s="7">
        <f t="shared" si="1"/>
        <v>95.200000000000017</v>
      </c>
    </row>
    <row r="11" spans="1:18" x14ac:dyDescent="0.25">
      <c r="A11" s="6">
        <v>2025</v>
      </c>
      <c r="B11" s="6" t="s">
        <v>20</v>
      </c>
      <c r="C11" s="6">
        <v>7000</v>
      </c>
      <c r="D11" s="6">
        <f t="shared" si="2"/>
        <v>5864.15</v>
      </c>
      <c r="E11" s="7">
        <v>770</v>
      </c>
      <c r="F11" s="7">
        <v>29.75</v>
      </c>
      <c r="G11" s="7">
        <v>11.9</v>
      </c>
      <c r="H11" s="7">
        <v>324.2</v>
      </c>
      <c r="I11" s="7">
        <f t="shared" si="3"/>
        <v>6930</v>
      </c>
      <c r="J11" s="7">
        <f t="shared" si="0"/>
        <v>267.75</v>
      </c>
      <c r="K11" s="7">
        <f t="shared" si="0"/>
        <v>107.10000000000002</v>
      </c>
      <c r="L11" s="7">
        <f t="shared" si="0"/>
        <v>2917.7999999999997</v>
      </c>
      <c r="M11" s="7">
        <v>840</v>
      </c>
      <c r="N11" s="7">
        <v>104.15</v>
      </c>
      <c r="O11" s="7">
        <v>11.9</v>
      </c>
      <c r="P11" s="7">
        <f t="shared" si="1"/>
        <v>7560</v>
      </c>
      <c r="Q11" s="7">
        <f t="shared" si="1"/>
        <v>937.34999999999991</v>
      </c>
      <c r="R11" s="7">
        <f t="shared" si="1"/>
        <v>107.10000000000002</v>
      </c>
    </row>
    <row r="12" spans="1:18" x14ac:dyDescent="0.25">
      <c r="A12" s="6">
        <v>2025</v>
      </c>
      <c r="B12" s="6" t="s">
        <v>21</v>
      </c>
      <c r="C12" s="6">
        <v>7000</v>
      </c>
      <c r="D12" s="6">
        <f t="shared" si="2"/>
        <v>5864.15</v>
      </c>
      <c r="E12" s="7">
        <v>770</v>
      </c>
      <c r="F12" s="7">
        <v>29.75</v>
      </c>
      <c r="G12" s="7">
        <v>11.9</v>
      </c>
      <c r="H12" s="7">
        <v>324.2</v>
      </c>
      <c r="I12" s="7">
        <f t="shared" si="3"/>
        <v>7700</v>
      </c>
      <c r="J12" s="7">
        <f t="shared" si="0"/>
        <v>297.5</v>
      </c>
      <c r="K12" s="7">
        <f t="shared" si="0"/>
        <v>119.00000000000003</v>
      </c>
      <c r="L12" s="7">
        <f t="shared" si="0"/>
        <v>3241.9999999999995</v>
      </c>
      <c r="M12" s="7">
        <v>840</v>
      </c>
      <c r="N12" s="7">
        <v>104.15</v>
      </c>
      <c r="O12" s="7">
        <v>11.9</v>
      </c>
      <c r="P12" s="7">
        <f t="shared" si="1"/>
        <v>8400</v>
      </c>
      <c r="Q12" s="7">
        <f t="shared" si="1"/>
        <v>1041.5</v>
      </c>
      <c r="R12" s="7">
        <f t="shared" si="1"/>
        <v>119.00000000000003</v>
      </c>
    </row>
    <row r="13" spans="1:18" x14ac:dyDescent="0.25">
      <c r="A13" s="9">
        <v>2025</v>
      </c>
      <c r="B13" s="10" t="s">
        <v>22</v>
      </c>
      <c r="C13" s="6">
        <v>8000</v>
      </c>
      <c r="D13" s="6">
        <f t="shared" si="2"/>
        <v>6564.2</v>
      </c>
      <c r="E13" s="7">
        <v>880</v>
      </c>
      <c r="F13" s="11">
        <v>29.75</v>
      </c>
      <c r="G13" s="7">
        <v>11.9</v>
      </c>
      <c r="H13" s="12">
        <v>514.15</v>
      </c>
      <c r="I13" s="7">
        <f t="shared" si="3"/>
        <v>8580</v>
      </c>
      <c r="J13" s="7">
        <f t="shared" si="0"/>
        <v>327.25</v>
      </c>
      <c r="K13" s="7">
        <f t="shared" si="0"/>
        <v>130.90000000000003</v>
      </c>
      <c r="L13" s="7">
        <f t="shared" si="0"/>
        <v>3756.1499999999996</v>
      </c>
      <c r="M13" s="13">
        <v>960</v>
      </c>
      <c r="N13" s="7">
        <v>104.15</v>
      </c>
      <c r="O13" s="7">
        <v>11.9</v>
      </c>
      <c r="P13" s="7">
        <f t="shared" si="1"/>
        <v>9360</v>
      </c>
      <c r="Q13" s="7">
        <f t="shared" si="1"/>
        <v>1145.6500000000001</v>
      </c>
      <c r="R13" s="7">
        <f t="shared" si="1"/>
        <v>130.90000000000003</v>
      </c>
    </row>
    <row r="14" spans="1:18" s="22" customFormat="1" x14ac:dyDescent="0.25">
      <c r="A14" s="14" t="s">
        <v>23</v>
      </c>
      <c r="B14" s="15"/>
      <c r="C14" s="16"/>
      <c r="D14" s="16">
        <f>SUM(D3:D13)</f>
        <v>65205.700000000004</v>
      </c>
      <c r="E14" s="16">
        <f>SUM(E3:E13)</f>
        <v>8580</v>
      </c>
      <c r="F14" s="17">
        <f>SUM(F3:F13)</f>
        <v>327.25</v>
      </c>
      <c r="G14" s="18">
        <f>SUM(G3:G13)</f>
        <v>130.90000000000003</v>
      </c>
      <c r="H14" s="18">
        <f>SUM(H3:H13)</f>
        <v>3756.1499999999996</v>
      </c>
      <c r="I14" s="19"/>
      <c r="J14" s="20"/>
      <c r="K14" s="20"/>
      <c r="L14" s="21"/>
      <c r="M14" s="18">
        <f>SUM(M3:M13)</f>
        <v>9360</v>
      </c>
      <c r="N14" s="18">
        <f>SUM(N3:N13)</f>
        <v>1145.6500000000001</v>
      </c>
      <c r="O14" s="18">
        <f>SUM(O3:O13)</f>
        <v>130.90000000000003</v>
      </c>
      <c r="P14" s="19"/>
      <c r="Q14" s="20"/>
      <c r="R14" s="21"/>
    </row>
    <row r="18" spans="9:15" x14ac:dyDescent="0.25">
      <c r="I18" s="23"/>
      <c r="J18" s="23"/>
      <c r="K18" s="23"/>
      <c r="L18" s="23"/>
      <c r="M18" s="23"/>
      <c r="N18" s="23"/>
      <c r="O18" s="23"/>
    </row>
    <row r="19" spans="9:15" x14ac:dyDescent="0.25">
      <c r="I19" s="23"/>
      <c r="J19" s="23"/>
      <c r="K19" s="23"/>
      <c r="L19" s="23"/>
      <c r="M19" s="23"/>
      <c r="N19" s="23"/>
      <c r="O19" s="23"/>
    </row>
    <row r="20" spans="9:15" x14ac:dyDescent="0.25">
      <c r="I20" s="23"/>
      <c r="J20" s="23"/>
      <c r="K20" s="23"/>
      <c r="L20" s="23"/>
      <c r="M20" s="23"/>
      <c r="N20" s="23"/>
      <c r="O20" s="23"/>
    </row>
    <row r="21" spans="9:15" x14ac:dyDescent="0.25">
      <c r="I21" s="23"/>
      <c r="J21" s="23"/>
      <c r="K21" s="23"/>
      <c r="L21" s="23"/>
      <c r="M21" s="23"/>
      <c r="N21" s="23"/>
      <c r="O21" s="23"/>
    </row>
    <row r="22" spans="9:15" x14ac:dyDescent="0.25">
      <c r="I22" s="23"/>
      <c r="J22" s="23"/>
      <c r="K22" s="23"/>
      <c r="L22" s="23"/>
      <c r="M22" s="23"/>
      <c r="N22" s="23"/>
      <c r="O22" s="23"/>
    </row>
    <row r="23" spans="9:15" x14ac:dyDescent="0.25">
      <c r="I23" s="23"/>
      <c r="J23" s="23"/>
      <c r="K23" s="23"/>
      <c r="L23" s="23"/>
      <c r="M23" s="23"/>
      <c r="N23" s="23"/>
      <c r="O23" s="23"/>
    </row>
    <row r="24" spans="9:15" x14ac:dyDescent="0.25">
      <c r="O24" s="23"/>
    </row>
  </sheetData>
  <mergeCells count="11">
    <mergeCell ref="M1:O1"/>
    <mergeCell ref="P1:R1"/>
    <mergeCell ref="A14:B14"/>
    <mergeCell ref="I14:L14"/>
    <mergeCell ref="P14:R14"/>
    <mergeCell ref="A1:A2"/>
    <mergeCell ref="B1:B2"/>
    <mergeCell ref="C1:C2"/>
    <mergeCell ref="D1:D2"/>
    <mergeCell ref="E1:H1"/>
    <mergeCell ref="I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Deductions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Haziq Hilman (Averroes)</dc:creator>
  <cp:lastModifiedBy>Haziq Hilman (Averroes)</cp:lastModifiedBy>
  <dcterms:created xsi:type="dcterms:W3CDTF">2026-02-19T07:17:29Z</dcterms:created>
  <dcterms:modified xsi:type="dcterms:W3CDTF">2026-02-19T07:18:05Z</dcterms:modified>
</cp:coreProperties>
</file>