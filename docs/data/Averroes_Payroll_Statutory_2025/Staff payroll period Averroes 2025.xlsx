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ziq\Averroes Data Science\Company\Projects\2025\HRMS\Codes\HRMS-API_v1\docs\data\Averroes_Payroll_Statutory_2025\"/>
    </mc:Choice>
  </mc:AlternateContent>
  <xr:revisionPtr revIDLastSave="0" documentId="13_ncr:1_{4D5ADC7B-8D91-4140-A173-837EE7715002}" xr6:coauthVersionLast="47" xr6:coauthVersionMax="47" xr10:uidLastSave="{00000000-0000-0000-0000-000000000000}"/>
  <bookViews>
    <workbookView xWindow="-108" yWindow="-108" windowWidth="23256" windowHeight="12456" xr2:uid="{CDB669B8-E285-4A11-A710-5B614CA38D2E}"/>
  </bookViews>
  <sheets>
    <sheet name="Averroes Data" sheetId="1" r:id="rId1"/>
  </sheets>
  <definedNames>
    <definedName name="_xlnm._FilterDatabase" localSheetId="0" hidden="1">'Averroes Data'!$A$1:$G$11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4" i="1"/>
  <c r="E5" i="1"/>
  <c r="E6" i="1"/>
  <c r="E7" i="1"/>
  <c r="E8" i="1"/>
  <c r="E9" i="1"/>
  <c r="E10" i="1"/>
  <c r="E11" i="1"/>
  <c r="E3" i="1"/>
</calcChain>
</file>

<file path=xl/sharedStrings.xml><?xml version="1.0" encoding="utf-8"?>
<sst xmlns="http://schemas.openxmlformats.org/spreadsheetml/2006/main" count="32" uniqueCount="32">
  <si>
    <t>No</t>
  </si>
  <si>
    <t>Employee No</t>
  </si>
  <si>
    <t>Name</t>
  </si>
  <si>
    <t>AVS004</t>
  </si>
  <si>
    <t>Asyifa binti Abd Malik</t>
  </si>
  <si>
    <t>AVS006</t>
  </si>
  <si>
    <t>Ainaa Rasyidah binti Hashim</t>
  </si>
  <si>
    <t>AVS007</t>
  </si>
  <si>
    <t>Muhamad Akram Hakim bin Jamaludin</t>
  </si>
  <si>
    <t>AVS008</t>
  </si>
  <si>
    <t>Muhammad Haziq Hilman bin Hamzan</t>
  </si>
  <si>
    <t>AVS0044</t>
  </si>
  <si>
    <t>Muhaimin</t>
  </si>
  <si>
    <t>AVS016</t>
  </si>
  <si>
    <t>Fatimah binti Majenin</t>
  </si>
  <si>
    <t>AVS030</t>
  </si>
  <si>
    <t>Ammar bin Amran</t>
  </si>
  <si>
    <t>AVS033</t>
  </si>
  <si>
    <t>Muhammad bin Taib</t>
  </si>
  <si>
    <t>AVS043</t>
  </si>
  <si>
    <t>Ungku Mohamed Ismail Adrian bin Ungku Abdul Rahman</t>
  </si>
  <si>
    <t>Start</t>
  </si>
  <si>
    <t>End</t>
  </si>
  <si>
    <t>Month work</t>
  </si>
  <si>
    <t>Salary</t>
  </si>
  <si>
    <t>Jan</t>
  </si>
  <si>
    <t>Feb</t>
  </si>
  <si>
    <t>Total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</si>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</sst>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M&quot;* #,##0.00_-;\-&quot;RM&quot;* #,##0.00_-;_-&quot;RM&quot;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15" fontId="0" fillId="0" borderId="0" xfId="0" applyNumberFormat="1"/>
    <xf numFmtId="44" fontId="0" fillId="0" borderId="0" xfId="0" applyNumberFormat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44" fontId="0" fillId="2" borderId="3" xfId="0" applyNumberFormat="1" applyFill="1" applyBorder="1" applyAlignment="1">
      <alignment horizontal="center" vertical="center"/>
    </xf>
    <xf numFmtId="44" fontId="0" fillId="2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15" fontId="0" fillId="2" borderId="0" xfId="0" applyNumberFormat="1" applyFill="1" applyBorder="1" applyAlignment="1">
      <alignment horizontal="center" vertical="center"/>
    </xf>
    <xf numFmtId="44" fontId="0" fillId="2" borderId="0" xfId="0" applyNumberFormat="1" applyFill="1" applyBorder="1" applyAlignment="1">
      <alignment horizontal="center" vertical="center"/>
    </xf>
    <xf numFmtId="44" fontId="0" fillId="2" borderId="6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Border="1"/>
    <xf numFmtId="15" fontId="0" fillId="0" borderId="0" xfId="0" applyNumberFormat="1" applyBorder="1"/>
    <xf numFmtId="0" fontId="0" fillId="0" borderId="0" xfId="0" applyBorder="1" applyAlignment="1">
      <alignment horizontal="right"/>
    </xf>
    <xf numFmtId="44" fontId="0" fillId="0" borderId="0" xfId="0" applyNumberFormat="1" applyBorder="1"/>
    <xf numFmtId="0" fontId="0" fillId="0" borderId="0" xfId="0" applyBorder="1"/>
    <xf numFmtId="0" fontId="0" fillId="0" borderId="6" xfId="0" applyBorder="1"/>
    <xf numFmtId="0" fontId="1" fillId="0" borderId="0" xfId="0" applyFont="1" applyBorder="1" applyAlignment="1">
      <alignment horizontal="center"/>
    </xf>
    <xf numFmtId="44" fontId="1" fillId="0" borderId="0" xfId="1" applyNumberFormat="1" applyFont="1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15" fontId="0" fillId="0" borderId="8" xfId="0" applyNumberFormat="1" applyBorder="1"/>
    <xf numFmtId="0" fontId="0" fillId="0" borderId="8" xfId="0" applyBorder="1" applyAlignment="1">
      <alignment horizontal="right" vertical="center"/>
    </xf>
    <xf numFmtId="44" fontId="1" fillId="0" borderId="8" xfId="1" applyNumberFormat="1" applyFont="1" applyFill="1" applyBorder="1"/>
    <xf numFmtId="0" fontId="0" fillId="0" borderId="9" xfId="0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44" fontId="4" fillId="0" borderId="1" xfId="0" applyNumberFormat="1" applyFont="1" applyBorder="1"/>
    <xf numFmtId="4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933A-5504-40E0-883C-AC8F567CABF7}">
  <sheetPr>
    <tabColor rgb="FF00B050"/>
  </sheetPr>
  <dimension ref="A1:M16"/>
  <sheetViews>
    <sheetView tabSelected="1" zoomScale="89" zoomScaleNormal="89" workbookViewId="0">
      <selection activeCell="I23" sqref="I23"/>
    </sheetView>
  </sheetViews>
  <sheetFormatPr defaultRowHeight="14.4" x14ac:dyDescent="0.3"/>
  <cols>
    <col min="1" max="1" width="5.33203125" customWidth="1"/>
    <col min="2" max="2" width="11.33203125" customWidth="1"/>
    <col min="3" max="3" width="38.109375" customWidth="1"/>
    <col min="4" max="4" width="11.88671875" customWidth="1"/>
    <col min="5" max="5" width="11.21875" style="5" customWidth="1"/>
    <col min="6" max="6" width="11" style="4" bestFit="1" customWidth="1"/>
    <col min="7" max="7" width="13.44140625" style="6" bestFit="1" customWidth="1"/>
  </cols>
  <sheetData>
    <row r="1" spans="1:13" x14ac:dyDescent="0.3">
      <c r="A1" s="7" t="s">
        <v>0</v>
      </c>
      <c r="B1" s="8" t="s">
        <v>1</v>
      </c>
      <c r="C1" s="9" t="s">
        <v>2</v>
      </c>
      <c r="D1" s="9" t="s">
        <v>21</v>
      </c>
      <c r="E1" s="10" t="s">
        <v>22</v>
      </c>
      <c r="F1" s="9" t="s">
        <v>23</v>
      </c>
      <c r="G1" s="11" t="s">
        <v>24</v>
      </c>
      <c r="H1" s="11" t="s">
        <v>25</v>
      </c>
      <c r="I1" s="11" t="s">
        <v>26</v>
      </c>
      <c r="J1" s="11" t="s">
        <v>28</v>
      </c>
      <c r="K1" s="11" t="s">
        <v>29</v>
      </c>
      <c r="L1" s="11" t="s">
        <v>30</v>
      </c>
      <c r="M1" s="12" t="s">
        <v>31</v>
      </c>
    </row>
    <row r="2" spans="1:13" x14ac:dyDescent="0.3">
      <c r="A2" s="13"/>
      <c r="B2" s="14"/>
      <c r="C2" s="15"/>
      <c r="D2" s="15"/>
      <c r="E2" s="16"/>
      <c r="F2" s="15"/>
      <c r="G2" s="17"/>
      <c r="H2" s="17"/>
      <c r="I2" s="17"/>
      <c r="J2" s="17"/>
      <c r="K2" s="17"/>
      <c r="L2" s="17"/>
      <c r="M2" s="18"/>
    </row>
    <row r="3" spans="1:13" x14ac:dyDescent="0.3">
      <c r="A3" s="19">
        <v>1</v>
      </c>
      <c r="B3" s="20" t="s">
        <v>3</v>
      </c>
      <c r="C3" s="21" t="s">
        <v>4</v>
      </c>
      <c r="D3" s="22">
        <v>45658</v>
      </c>
      <c r="E3" s="22">
        <f>EDATE(D3, F3)-1</f>
        <v>46022</v>
      </c>
      <c r="F3" s="23">
        <v>12</v>
      </c>
      <c r="G3" s="24">
        <v>5700</v>
      </c>
      <c r="H3" s="25"/>
      <c r="I3" s="25"/>
      <c r="J3" s="25"/>
      <c r="K3" s="25"/>
      <c r="L3" s="25"/>
      <c r="M3" s="26"/>
    </row>
    <row r="4" spans="1:13" x14ac:dyDescent="0.3">
      <c r="A4" s="19">
        <v>2</v>
      </c>
      <c r="B4" s="27" t="s">
        <v>5</v>
      </c>
      <c r="C4" s="21" t="s">
        <v>6</v>
      </c>
      <c r="D4" s="22">
        <v>45658</v>
      </c>
      <c r="E4" s="22">
        <f t="shared" ref="E4:E11" si="0">EDATE(D4, F4)-1</f>
        <v>45688</v>
      </c>
      <c r="F4" s="23">
        <v>1</v>
      </c>
      <c r="G4" s="28">
        <v>4620</v>
      </c>
      <c r="H4" s="25"/>
      <c r="I4" s="25"/>
      <c r="J4" s="25"/>
      <c r="K4" s="25"/>
      <c r="L4" s="25"/>
      <c r="M4" s="26"/>
    </row>
    <row r="5" spans="1:13" x14ac:dyDescent="0.3">
      <c r="A5" s="19">
        <v>3</v>
      </c>
      <c r="B5" s="20" t="s">
        <v>7</v>
      </c>
      <c r="C5" s="21" t="s">
        <v>8</v>
      </c>
      <c r="D5" s="22">
        <v>45658</v>
      </c>
      <c r="E5" s="22">
        <f t="shared" si="0"/>
        <v>45688</v>
      </c>
      <c r="F5" s="23">
        <v>1</v>
      </c>
      <c r="G5" s="28">
        <v>7000</v>
      </c>
      <c r="H5" s="25"/>
      <c r="I5" s="25"/>
      <c r="J5" s="25"/>
      <c r="K5" s="25"/>
      <c r="L5" s="25"/>
      <c r="M5" s="26"/>
    </row>
    <row r="6" spans="1:13" x14ac:dyDescent="0.3">
      <c r="A6" s="19">
        <v>4</v>
      </c>
      <c r="B6" s="20" t="s">
        <v>9</v>
      </c>
      <c r="C6" s="21" t="s">
        <v>10</v>
      </c>
      <c r="D6" s="22">
        <v>45658</v>
      </c>
      <c r="E6" s="22">
        <f t="shared" si="0"/>
        <v>46022</v>
      </c>
      <c r="F6" s="23">
        <v>12</v>
      </c>
      <c r="G6" s="28">
        <v>7500</v>
      </c>
      <c r="H6" s="25"/>
      <c r="I6" s="25"/>
      <c r="J6" s="25"/>
      <c r="K6" s="25"/>
      <c r="L6" s="25"/>
      <c r="M6" s="26"/>
    </row>
    <row r="7" spans="1:13" x14ac:dyDescent="0.3">
      <c r="A7" s="19">
        <v>5</v>
      </c>
      <c r="B7" s="20" t="s">
        <v>11</v>
      </c>
      <c r="C7" s="21" t="s">
        <v>12</v>
      </c>
      <c r="D7" s="22">
        <v>45658</v>
      </c>
      <c r="E7" s="22">
        <f t="shared" si="0"/>
        <v>45688</v>
      </c>
      <c r="F7" s="23">
        <v>1</v>
      </c>
      <c r="G7" s="28">
        <v>4500</v>
      </c>
      <c r="H7" s="25"/>
      <c r="I7" s="25"/>
      <c r="J7" s="25"/>
      <c r="K7" s="25"/>
      <c r="L7" s="25"/>
      <c r="M7" s="26"/>
    </row>
    <row r="8" spans="1:13" x14ac:dyDescent="0.3">
      <c r="A8" s="19">
        <v>6</v>
      </c>
      <c r="B8" s="20" t="s">
        <v>13</v>
      </c>
      <c r="C8" s="21" t="s">
        <v>14</v>
      </c>
      <c r="D8" s="22">
        <v>45658</v>
      </c>
      <c r="E8" s="22">
        <f t="shared" si="0"/>
        <v>45838</v>
      </c>
      <c r="F8" s="23">
        <v>6</v>
      </c>
      <c r="G8" s="28">
        <v>4900</v>
      </c>
      <c r="H8" s="25"/>
      <c r="I8" s="25"/>
      <c r="J8" s="25"/>
      <c r="K8" s="25"/>
      <c r="L8" s="25"/>
      <c r="M8" s="26"/>
    </row>
    <row r="9" spans="1:13" x14ac:dyDescent="0.3">
      <c r="A9" s="19">
        <v>7</v>
      </c>
      <c r="B9" s="20" t="s">
        <v>15</v>
      </c>
      <c r="C9" s="21" t="s">
        <v>16</v>
      </c>
      <c r="D9" s="22">
        <v>45658</v>
      </c>
      <c r="E9" s="22">
        <f t="shared" si="0"/>
        <v>45688</v>
      </c>
      <c r="F9" s="23">
        <v>1</v>
      </c>
      <c r="G9" s="28">
        <v>3700</v>
      </c>
      <c r="H9" s="25"/>
      <c r="I9" s="25"/>
      <c r="J9" s="25"/>
      <c r="K9" s="25"/>
      <c r="L9" s="25"/>
      <c r="M9" s="26"/>
    </row>
    <row r="10" spans="1:13" x14ac:dyDescent="0.3">
      <c r="A10" s="19">
        <v>8</v>
      </c>
      <c r="B10" s="20" t="s">
        <v>17</v>
      </c>
      <c r="C10" s="21" t="s">
        <v>18</v>
      </c>
      <c r="D10" s="22">
        <v>45658</v>
      </c>
      <c r="E10" s="22">
        <f t="shared" si="0"/>
        <v>45716</v>
      </c>
      <c r="F10" s="23">
        <v>2</v>
      </c>
      <c r="G10" s="28">
        <v>3900</v>
      </c>
      <c r="H10" s="25"/>
      <c r="I10" s="25"/>
      <c r="J10" s="25"/>
      <c r="K10" s="25"/>
      <c r="L10" s="25"/>
      <c r="M10" s="26"/>
    </row>
    <row r="11" spans="1:13" s="1" customFormat="1" ht="28.8" x14ac:dyDescent="0.3">
      <c r="A11" s="29">
        <v>9</v>
      </c>
      <c r="B11" s="30" t="s">
        <v>19</v>
      </c>
      <c r="C11" s="31" t="s">
        <v>20</v>
      </c>
      <c r="D11" s="32">
        <v>45658</v>
      </c>
      <c r="E11" s="32">
        <f t="shared" si="0"/>
        <v>45716</v>
      </c>
      <c r="F11" s="33">
        <v>2</v>
      </c>
      <c r="G11" s="34">
        <v>5000</v>
      </c>
      <c r="H11" s="30"/>
      <c r="I11" s="30"/>
      <c r="J11" s="30"/>
      <c r="K11" s="30"/>
      <c r="L11" s="30"/>
      <c r="M11" s="35"/>
    </row>
    <row r="12" spans="1:13" x14ac:dyDescent="0.3">
      <c r="C12" s="2"/>
      <c r="F12" s="36" t="s">
        <v>27</v>
      </c>
      <c r="G12" s="37">
        <f>SUM(G3:G11)</f>
        <v>46820</v>
      </c>
      <c r="H12" s="38">
        <v>40717.75</v>
      </c>
      <c r="I12" s="38">
        <v>23703.75</v>
      </c>
      <c r="J12" s="38">
        <v>15968.05</v>
      </c>
      <c r="K12" s="38">
        <v>15968.05</v>
      </c>
      <c r="L12" s="38">
        <v>15968.05</v>
      </c>
      <c r="M12" s="38">
        <v>15968.05</v>
      </c>
    </row>
    <row r="13" spans="1:13" x14ac:dyDescent="0.3">
      <c r="C13" s="3"/>
    </row>
    <row r="16" spans="1:13" x14ac:dyDescent="0.3">
      <c r="C16" s="4"/>
    </row>
  </sheetData>
  <autoFilter ref="A1:G11" xr:uid="{FDE7933A-5504-40E0-883C-AC8F567CABF7}"/>
  <mergeCells count="13">
    <mergeCell ref="K1:K2"/>
    <mergeCell ref="L1:L2"/>
    <mergeCell ref="M1:M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Averroes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2026-03-01T23:32:27Z</dcterms:created>
  <dcterms:modified xsi:type="dcterms:W3CDTF">2026-03-02T03:29:31Z</dcterms:modified>
</cp:coreProperties>
</file>