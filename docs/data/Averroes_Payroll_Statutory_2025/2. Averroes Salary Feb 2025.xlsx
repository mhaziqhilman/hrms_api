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iq\Averroes Data Science\Company\Human Resources\8. Payslip\New folder\"/>
    </mc:Choice>
  </mc:AlternateContent>
  <xr:revisionPtr revIDLastSave="0" documentId="13_ncr:1_{459E3E7E-87CA-4810-8797-D2E48D56E862}" xr6:coauthVersionLast="47" xr6:coauthVersionMax="47" xr10:uidLastSave="{00000000-0000-0000-0000-000000000000}"/>
  <bookViews>
    <workbookView xWindow="-108" yWindow="-108" windowWidth="23256" windowHeight="12456" xr2:uid="{646D0DF1-F7BB-48E2-805F-21F980EC6966}"/>
  </bookViews>
  <sheets>
    <sheet name="FEB 25" sheetId="1" r:id="rId1"/>
  </sheets>
  <definedNames>
    <definedName name="_xlnm._FilterDatabase" localSheetId="0" hidden="1">'FEB 25'!$A$1:$N$13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M12" i="1"/>
  <c r="L12" i="1"/>
  <c r="K12" i="1"/>
  <c r="J12" i="1"/>
  <c r="I12" i="1"/>
  <c r="N17" i="1" s="1"/>
  <c r="E12" i="1"/>
  <c r="D12" i="1"/>
  <c r="H11" i="1"/>
  <c r="N11" i="1" s="1"/>
  <c r="F11" i="1"/>
  <c r="G11" i="1" s="1"/>
  <c r="F10" i="1"/>
  <c r="H10" i="1" s="1"/>
  <c r="F9" i="1"/>
  <c r="H9" i="1" s="1"/>
  <c r="N9" i="1" s="1"/>
  <c r="H8" i="1"/>
  <c r="N8" i="1" s="1"/>
  <c r="G8" i="1"/>
  <c r="F8" i="1"/>
  <c r="F7" i="1"/>
  <c r="F6" i="1"/>
  <c r="H6" i="1" s="1"/>
  <c r="N6" i="1" s="1"/>
  <c r="H5" i="1"/>
  <c r="G5" i="1"/>
  <c r="F5" i="1"/>
  <c r="F4" i="1"/>
  <c r="F12" i="1" s="1"/>
  <c r="H3" i="1"/>
  <c r="N3" i="1" s="1"/>
  <c r="G3" i="1"/>
  <c r="G10" i="1" l="1"/>
  <c r="H7" i="1"/>
  <c r="N7" i="1" s="1"/>
  <c r="N10" i="1"/>
  <c r="G7" i="1"/>
  <c r="G4" i="1"/>
  <c r="H4" i="1"/>
  <c r="H12" i="1" s="1"/>
  <c r="G6" i="1"/>
  <c r="G9" i="1"/>
  <c r="N4" i="1" l="1"/>
  <c r="N12" i="1" s="1"/>
  <c r="N14" i="1" s="1"/>
  <c r="G12" i="1"/>
  <c r="N16" i="1" l="1"/>
  <c r="N18" i="1"/>
</calcChain>
</file>

<file path=xl/sharedStrings.xml><?xml version="1.0" encoding="utf-8"?>
<sst xmlns="http://schemas.openxmlformats.org/spreadsheetml/2006/main" count="41" uniqueCount="36">
  <si>
    <t>No</t>
  </si>
  <si>
    <t>Employee No</t>
  </si>
  <si>
    <t>Name</t>
  </si>
  <si>
    <t>Allowance       (RM)</t>
  </si>
  <si>
    <t>Gross Salary       (RM)</t>
  </si>
  <si>
    <t>EPF</t>
  </si>
  <si>
    <t>SOCSO</t>
  </si>
  <si>
    <t>EIS</t>
  </si>
  <si>
    <t>Income Tax</t>
  </si>
  <si>
    <t>Net Salary (RM)</t>
  </si>
  <si>
    <t>Employer (12-13%)</t>
  </si>
  <si>
    <t>Employee (11%)</t>
  </si>
  <si>
    <t>Employer</t>
  </si>
  <si>
    <t xml:space="preserve">Employee </t>
  </si>
  <si>
    <t>AVS004</t>
  </si>
  <si>
    <t>Asyifa binti Abd Malik</t>
  </si>
  <si>
    <t>AVS006</t>
  </si>
  <si>
    <t>Ainaa Rasyidah binti Hashim</t>
  </si>
  <si>
    <t>AVS007</t>
  </si>
  <si>
    <t>Muhamad Akram Hakim bin Jamaludin</t>
  </si>
  <si>
    <t>AVS008</t>
  </si>
  <si>
    <t>Muhammad Haziq Hilman bin Hamzan</t>
  </si>
  <si>
    <t>AVS0044</t>
  </si>
  <si>
    <t>Muhaimin</t>
  </si>
  <si>
    <t>AVS016</t>
  </si>
  <si>
    <t>Fatimah binti Majenin</t>
  </si>
  <si>
    <t>AVS030</t>
  </si>
  <si>
    <t>Ammar bin Amran</t>
  </si>
  <si>
    <t>AVS033</t>
  </si>
  <si>
    <t>Muhammad bin Taib</t>
  </si>
  <si>
    <t>AVS043</t>
  </si>
  <si>
    <t>Ungku Mohamed Ismail Adrian bin Ungku Abdul Rahman</t>
  </si>
  <si>
    <t>Salary</t>
  </si>
  <si>
    <t>Socso</t>
  </si>
  <si>
    <t>Total Cost</t>
  </si>
  <si>
    <t>Basic Salary Feb 25      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</si>
</sst>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43" fontId="4" fillId="0" borderId="0" xfId="1" applyFont="1" applyFill="1"/>
    <xf numFmtId="43" fontId="0" fillId="0" borderId="0" xfId="1" applyFont="1" applyFill="1" applyBorder="1"/>
    <xf numFmtId="43" fontId="0" fillId="0" borderId="0" xfId="1" applyFont="1" applyFill="1"/>
    <xf numFmtId="43" fontId="0" fillId="5" borderId="0" xfId="1" applyFont="1" applyFill="1"/>
    <xf numFmtId="43" fontId="4" fillId="5" borderId="0" xfId="1" applyFont="1" applyFill="1"/>
    <xf numFmtId="43" fontId="4" fillId="0" borderId="0" xfId="0" applyNumberFormat="1" applyFont="1"/>
    <xf numFmtId="0" fontId="4" fillId="0" borderId="0" xfId="0" applyFont="1" applyAlignment="1">
      <alignment horizontal="center"/>
    </xf>
    <xf numFmtId="43" fontId="4" fillId="0" borderId="0" xfId="1" applyFont="1" applyFill="1" applyBorder="1"/>
    <xf numFmtId="43" fontId="4" fillId="0" borderId="0" xfId="1" applyFont="1"/>
    <xf numFmtId="43" fontId="4" fillId="4" borderId="0" xfId="1" applyFont="1" applyFill="1"/>
    <xf numFmtId="43" fontId="0" fillId="0" borderId="0" xfId="1" applyFont="1"/>
    <xf numFmtId="43" fontId="0" fillId="4" borderId="0" xfId="1" applyFont="1" applyFill="1"/>
    <xf numFmtId="0" fontId="4" fillId="0" borderId="0" xfId="0" applyFont="1" applyAlignment="1">
      <alignment horizontal="left" vertical="center" wrapText="1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3" fontId="0" fillId="5" borderId="0" xfId="1" applyFont="1" applyFill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43" fontId="5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43" fontId="2" fillId="0" borderId="0" xfId="0" applyNumberFormat="1" applyFont="1"/>
    <xf numFmtId="43" fontId="2" fillId="0" borderId="0" xfId="1" applyFont="1" applyFill="1"/>
    <xf numFmtId="43" fontId="4" fillId="2" borderId="0" xfId="1" applyFont="1" applyFill="1"/>
    <xf numFmtId="43" fontId="0" fillId="0" borderId="0" xfId="0" applyNumberFormat="1"/>
    <xf numFmtId="0" fontId="0" fillId="0" borderId="0" xfId="0" applyAlignment="1">
      <alignment horizontal="right"/>
    </xf>
    <xf numFmtId="43" fontId="3" fillId="0" borderId="1" xfId="1" applyFont="1" applyFill="1" applyBorder="1"/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DCA7-AEDF-4B27-B45E-0E161B018ED5}">
  <sheetPr>
    <tabColor rgb="FF00B050"/>
  </sheetPr>
  <dimension ref="A1:P27"/>
  <sheetViews>
    <sheetView tabSelected="1" zoomScale="89" zoomScaleNormal="89" workbookViewId="0">
      <selection activeCell="D3" sqref="D3"/>
    </sheetView>
  </sheetViews>
  <sheetFormatPr defaultRowHeight="14.4" x14ac:dyDescent="0.3"/>
  <cols>
    <col min="1" max="1" width="5.33203125" customWidth="1"/>
    <col min="2" max="2" width="11.33203125" customWidth="1"/>
    <col min="3" max="3" width="38.109375" customWidth="1"/>
    <col min="4" max="6" width="12.5546875" customWidth="1"/>
    <col min="7" max="7" width="11.33203125" customWidth="1"/>
    <col min="8" max="8" width="11.88671875" customWidth="1"/>
    <col min="9" max="9" width="11.33203125" customWidth="1"/>
    <col min="10" max="10" width="11.88671875" customWidth="1"/>
    <col min="11" max="11" width="11.33203125" customWidth="1"/>
    <col min="12" max="13" width="11.88671875" style="19" customWidth="1"/>
    <col min="14" max="14" width="12" customWidth="1"/>
  </cols>
  <sheetData>
    <row r="1" spans="1:14" ht="43.2" customHeight="1" x14ac:dyDescent="0.3">
      <c r="A1" s="45" t="s">
        <v>0</v>
      </c>
      <c r="B1" s="42" t="s">
        <v>1</v>
      </c>
      <c r="C1" s="45" t="s">
        <v>2</v>
      </c>
      <c r="D1" s="46" t="s">
        <v>35</v>
      </c>
      <c r="E1" s="42" t="s">
        <v>3</v>
      </c>
      <c r="F1" s="42" t="s">
        <v>4</v>
      </c>
      <c r="G1" s="42" t="s">
        <v>5</v>
      </c>
      <c r="H1" s="42"/>
      <c r="I1" s="42" t="s">
        <v>6</v>
      </c>
      <c r="J1" s="42"/>
      <c r="K1" s="42" t="s">
        <v>7</v>
      </c>
      <c r="L1" s="42"/>
      <c r="M1" s="2" t="s">
        <v>8</v>
      </c>
      <c r="N1" s="42" t="s">
        <v>9</v>
      </c>
    </row>
    <row r="2" spans="1:14" ht="28.8" x14ac:dyDescent="0.3">
      <c r="A2" s="45"/>
      <c r="B2" s="42"/>
      <c r="C2" s="45"/>
      <c r="D2" s="46"/>
      <c r="E2" s="42"/>
      <c r="F2" s="42"/>
      <c r="G2" s="1" t="s">
        <v>10</v>
      </c>
      <c r="H2" s="3" t="s">
        <v>11</v>
      </c>
      <c r="I2" s="1" t="s">
        <v>12</v>
      </c>
      <c r="J2" s="4" t="s">
        <v>13</v>
      </c>
      <c r="K2" s="1" t="s">
        <v>12</v>
      </c>
      <c r="L2" s="5" t="s">
        <v>13</v>
      </c>
      <c r="M2" s="5" t="s">
        <v>13</v>
      </c>
      <c r="N2" s="42"/>
    </row>
    <row r="3" spans="1:14" x14ac:dyDescent="0.3">
      <c r="A3" s="6">
        <v>1</v>
      </c>
      <c r="B3" s="7" t="s">
        <v>14</v>
      </c>
      <c r="C3" s="8" t="s">
        <v>15</v>
      </c>
      <c r="D3" s="9">
        <v>5700</v>
      </c>
      <c r="E3" s="10"/>
      <c r="F3" s="11">
        <v>5700</v>
      </c>
      <c r="G3" s="11">
        <f t="shared" ref="G3:G4" si="0">F3*0.13</f>
        <v>741</v>
      </c>
      <c r="H3" s="12">
        <f t="shared" ref="H3:H11" si="1">F3*0.11</f>
        <v>627</v>
      </c>
      <c r="I3" s="11">
        <v>86.65</v>
      </c>
      <c r="J3" s="12">
        <v>24.75</v>
      </c>
      <c r="K3" s="11">
        <v>9.9</v>
      </c>
      <c r="L3" s="12">
        <v>9.9</v>
      </c>
      <c r="M3" s="13">
        <v>156.19999999999999</v>
      </c>
      <c r="N3" s="14">
        <f t="shared" ref="N3:N11" si="2">F3-H3-J3-L3-M3</f>
        <v>4882.1500000000005</v>
      </c>
    </row>
    <row r="4" spans="1:14" x14ac:dyDescent="0.3">
      <c r="A4" s="6">
        <v>2</v>
      </c>
      <c r="B4" s="15" t="s">
        <v>16</v>
      </c>
      <c r="C4" s="8" t="s">
        <v>17</v>
      </c>
      <c r="D4" s="9"/>
      <c r="E4" s="16"/>
      <c r="F4" s="11">
        <f>D4+E4</f>
        <v>0</v>
      </c>
      <c r="G4" s="11">
        <f t="shared" si="0"/>
        <v>0</v>
      </c>
      <c r="H4" s="12">
        <f t="shared" si="1"/>
        <v>0</v>
      </c>
      <c r="I4" s="17"/>
      <c r="J4" s="18"/>
      <c r="K4" s="17"/>
      <c r="L4" s="18"/>
      <c r="M4" s="13"/>
      <c r="N4" s="14">
        <f t="shared" si="2"/>
        <v>0</v>
      </c>
    </row>
    <row r="5" spans="1:14" x14ac:dyDescent="0.3">
      <c r="A5" s="6">
        <v>3</v>
      </c>
      <c r="B5" s="7" t="s">
        <v>18</v>
      </c>
      <c r="C5" s="8" t="s">
        <v>19</v>
      </c>
      <c r="D5" s="9"/>
      <c r="E5" s="10"/>
      <c r="F5" s="9">
        <f t="shared" ref="F5:F11" si="3">D5+E5</f>
        <v>0</v>
      </c>
      <c r="G5" s="9">
        <f>F5*0.12</f>
        <v>0</v>
      </c>
      <c r="H5" s="12">
        <f t="shared" si="1"/>
        <v>0</v>
      </c>
      <c r="I5" s="19"/>
      <c r="J5" s="20"/>
      <c r="K5" s="19"/>
      <c r="L5" s="20"/>
      <c r="M5" s="13"/>
      <c r="N5" s="14"/>
    </row>
    <row r="6" spans="1:14" x14ac:dyDescent="0.3">
      <c r="A6" s="6">
        <v>4</v>
      </c>
      <c r="B6" s="7" t="s">
        <v>20</v>
      </c>
      <c r="C6" s="8" t="s">
        <v>21</v>
      </c>
      <c r="D6" s="9">
        <v>7500</v>
      </c>
      <c r="E6" s="10"/>
      <c r="F6" s="9">
        <f t="shared" si="3"/>
        <v>7500</v>
      </c>
      <c r="G6" s="9">
        <f>F6*0.12</f>
        <v>900</v>
      </c>
      <c r="H6" s="12">
        <f t="shared" si="1"/>
        <v>825</v>
      </c>
      <c r="I6" s="19">
        <v>104.15</v>
      </c>
      <c r="J6" s="20">
        <v>29.75</v>
      </c>
      <c r="K6" s="19">
        <v>11.9</v>
      </c>
      <c r="L6" s="20">
        <v>11.9</v>
      </c>
      <c r="M6" s="13">
        <v>387.5</v>
      </c>
      <c r="N6" s="14">
        <f t="shared" si="2"/>
        <v>6245.85</v>
      </c>
    </row>
    <row r="7" spans="1:14" x14ac:dyDescent="0.3">
      <c r="A7" s="6">
        <v>5</v>
      </c>
      <c r="B7" s="7" t="s">
        <v>22</v>
      </c>
      <c r="C7" s="8" t="s">
        <v>23</v>
      </c>
      <c r="D7" s="9"/>
      <c r="E7" s="10"/>
      <c r="F7" s="9">
        <f t="shared" si="3"/>
        <v>0</v>
      </c>
      <c r="G7" s="9">
        <f>F7*0.13</f>
        <v>0</v>
      </c>
      <c r="H7" s="12">
        <f t="shared" si="1"/>
        <v>0</v>
      </c>
      <c r="I7" s="19"/>
      <c r="J7" s="20"/>
      <c r="K7" s="19"/>
      <c r="L7" s="20"/>
      <c r="M7" s="13"/>
      <c r="N7" s="14">
        <f t="shared" si="2"/>
        <v>0</v>
      </c>
    </row>
    <row r="8" spans="1:14" x14ac:dyDescent="0.3">
      <c r="A8" s="6">
        <v>6</v>
      </c>
      <c r="B8" s="7" t="s">
        <v>24</v>
      </c>
      <c r="C8" s="8" t="s">
        <v>25</v>
      </c>
      <c r="D8" s="9">
        <v>4900</v>
      </c>
      <c r="E8" s="10"/>
      <c r="F8" s="11">
        <f t="shared" si="3"/>
        <v>4900</v>
      </c>
      <c r="G8" s="9">
        <f t="shared" ref="G8:G10" si="4">F8*0.13</f>
        <v>637</v>
      </c>
      <c r="H8" s="12">
        <f t="shared" si="1"/>
        <v>539</v>
      </c>
      <c r="I8" s="19">
        <v>84.85</v>
      </c>
      <c r="J8" s="20">
        <v>24.25</v>
      </c>
      <c r="K8" s="19">
        <v>9.6999999999999993</v>
      </c>
      <c r="L8" s="20">
        <v>9.6999999999999993</v>
      </c>
      <c r="M8" s="13">
        <v>104</v>
      </c>
      <c r="N8" s="14">
        <f t="shared" si="2"/>
        <v>4223.05</v>
      </c>
    </row>
    <row r="9" spans="1:14" x14ac:dyDescent="0.3">
      <c r="A9" s="6">
        <v>7</v>
      </c>
      <c r="B9" s="7" t="s">
        <v>26</v>
      </c>
      <c r="C9" s="8" t="s">
        <v>27</v>
      </c>
      <c r="D9" s="9"/>
      <c r="E9" s="16"/>
      <c r="F9" s="11">
        <f t="shared" si="3"/>
        <v>0</v>
      </c>
      <c r="G9" s="9">
        <f>F9*0.12</f>
        <v>0</v>
      </c>
      <c r="H9" s="12">
        <f t="shared" si="1"/>
        <v>0</v>
      </c>
      <c r="I9" s="17"/>
      <c r="J9" s="18"/>
      <c r="K9" s="17"/>
      <c r="L9" s="18"/>
      <c r="M9" s="13"/>
      <c r="N9" s="14">
        <f t="shared" si="2"/>
        <v>0</v>
      </c>
    </row>
    <row r="10" spans="1:14" x14ac:dyDescent="0.3">
      <c r="A10" s="6">
        <v>8</v>
      </c>
      <c r="B10" s="7" t="s">
        <v>28</v>
      </c>
      <c r="C10" s="8" t="s">
        <v>29</v>
      </c>
      <c r="D10" s="9">
        <v>3900</v>
      </c>
      <c r="E10" s="16"/>
      <c r="F10" s="11">
        <f t="shared" si="3"/>
        <v>3900</v>
      </c>
      <c r="G10" s="9">
        <f t="shared" si="4"/>
        <v>507</v>
      </c>
      <c r="H10" s="12">
        <f t="shared" si="1"/>
        <v>429</v>
      </c>
      <c r="I10" s="17">
        <v>67.349999999999994</v>
      </c>
      <c r="J10" s="18">
        <v>19.25</v>
      </c>
      <c r="K10" s="17">
        <v>7.7</v>
      </c>
      <c r="L10" s="18">
        <v>7.7</v>
      </c>
      <c r="M10" s="13">
        <v>13.7</v>
      </c>
      <c r="N10" s="14">
        <f t="shared" si="2"/>
        <v>3430.3500000000004</v>
      </c>
    </row>
    <row r="11" spans="1:14" s="6" customFormat="1" ht="28.8" x14ac:dyDescent="0.3">
      <c r="A11" s="6">
        <v>9</v>
      </c>
      <c r="B11" s="6" t="s">
        <v>30</v>
      </c>
      <c r="C11" s="21" t="s">
        <v>31</v>
      </c>
      <c r="D11" s="22">
        <v>4700</v>
      </c>
      <c r="E11" s="23">
        <v>300</v>
      </c>
      <c r="F11" s="22">
        <f t="shared" si="3"/>
        <v>5000</v>
      </c>
      <c r="G11" s="24">
        <f>F11*0.13</f>
        <v>650</v>
      </c>
      <c r="H11" s="25">
        <f t="shared" si="1"/>
        <v>550</v>
      </c>
      <c r="I11" s="26">
        <v>86.65</v>
      </c>
      <c r="J11" s="27">
        <v>24.75</v>
      </c>
      <c r="K11" s="26">
        <v>9.9</v>
      </c>
      <c r="L11" s="27">
        <v>9.9</v>
      </c>
      <c r="M11" s="27">
        <v>110</v>
      </c>
      <c r="N11" s="28">
        <f t="shared" si="2"/>
        <v>4305.3500000000004</v>
      </c>
    </row>
    <row r="12" spans="1:14" x14ac:dyDescent="0.3">
      <c r="D12" s="29">
        <f t="shared" ref="D12:N12" si="5">SUM(D3:D11)</f>
        <v>26700</v>
      </c>
      <c r="E12" s="29">
        <f t="shared" si="5"/>
        <v>300</v>
      </c>
      <c r="F12" s="29">
        <f t="shared" si="5"/>
        <v>27000</v>
      </c>
      <c r="G12" s="30">
        <f t="shared" si="5"/>
        <v>3435</v>
      </c>
      <c r="H12" s="29">
        <f t="shared" si="5"/>
        <v>2970</v>
      </c>
      <c r="I12" s="30">
        <f t="shared" si="5"/>
        <v>429.65</v>
      </c>
      <c r="J12" s="29">
        <f t="shared" si="5"/>
        <v>122.75</v>
      </c>
      <c r="K12" s="30">
        <f t="shared" si="5"/>
        <v>49.1</v>
      </c>
      <c r="L12" s="29">
        <f t="shared" si="5"/>
        <v>49.1</v>
      </c>
      <c r="M12" s="29">
        <f t="shared" si="5"/>
        <v>771.40000000000009</v>
      </c>
      <c r="N12" s="29">
        <f t="shared" si="5"/>
        <v>23086.75</v>
      </c>
    </row>
    <row r="13" spans="1:14" x14ac:dyDescent="0.3">
      <c r="C13" s="31"/>
      <c r="D13" s="9"/>
      <c r="G13" s="43"/>
      <c r="H13" s="44"/>
      <c r="I13" s="43"/>
      <c r="J13" s="44"/>
      <c r="K13" s="43"/>
      <c r="L13" s="44"/>
      <c r="M13" s="9"/>
      <c r="N13" s="8"/>
    </row>
    <row r="14" spans="1:14" x14ac:dyDescent="0.3">
      <c r="C14" s="32"/>
      <c r="D14" s="14"/>
      <c r="G14" s="8"/>
      <c r="H14" s="9"/>
      <c r="I14" s="33"/>
      <c r="J14" s="33"/>
      <c r="K14" s="34"/>
      <c r="L14" s="35"/>
      <c r="M14" s="36" t="s">
        <v>32</v>
      </c>
      <c r="N14" s="14">
        <f>N12</f>
        <v>23086.75</v>
      </c>
    </row>
    <row r="15" spans="1:14" x14ac:dyDescent="0.3">
      <c r="D15" s="8"/>
      <c r="G15" s="8"/>
      <c r="H15" s="14"/>
      <c r="I15" s="40"/>
      <c r="J15" s="41"/>
      <c r="K15" s="40"/>
      <c r="L15" s="41"/>
      <c r="M15" s="36" t="s">
        <v>7</v>
      </c>
      <c r="N15" s="14">
        <f>K12</f>
        <v>49.1</v>
      </c>
    </row>
    <row r="16" spans="1:14" x14ac:dyDescent="0.3">
      <c r="D16" s="8"/>
      <c r="J16" s="37"/>
      <c r="L16" s="11"/>
      <c r="M16" s="36" t="s">
        <v>5</v>
      </c>
      <c r="N16" s="37">
        <f>G12</f>
        <v>3435</v>
      </c>
    </row>
    <row r="17" spans="3:16" x14ac:dyDescent="0.3">
      <c r="C17" s="38"/>
      <c r="D17" s="14"/>
      <c r="E17" s="37"/>
      <c r="F17" s="37"/>
      <c r="G17" s="37"/>
      <c r="L17" s="11"/>
      <c r="M17" s="36" t="s">
        <v>33</v>
      </c>
      <c r="N17" s="37">
        <f>I12</f>
        <v>429.65</v>
      </c>
    </row>
    <row r="18" spans="3:16" ht="15" thickBot="1" x14ac:dyDescent="0.35">
      <c r="D18" s="8"/>
      <c r="L18" s="11"/>
      <c r="M18" s="39" t="s">
        <v>34</v>
      </c>
      <c r="N18" s="29">
        <f>SUM(F12,G12,I12,K12)</f>
        <v>30913.75</v>
      </c>
      <c r="P18" s="37"/>
    </row>
    <row r="19" spans="3:16" ht="15" thickTop="1" x14ac:dyDescent="0.3">
      <c r="L19" s="11"/>
      <c r="M19" s="11"/>
    </row>
    <row r="21" spans="3:16" x14ac:dyDescent="0.3">
      <c r="I21" s="19"/>
    </row>
    <row r="22" spans="3:16" x14ac:dyDescent="0.3">
      <c r="I22" s="19"/>
    </row>
    <row r="23" spans="3:16" x14ac:dyDescent="0.3">
      <c r="I23" s="37"/>
    </row>
    <row r="27" spans="3:16" x14ac:dyDescent="0.3">
      <c r="I27" s="37"/>
    </row>
  </sheetData>
  <autoFilter ref="A1:N13" xr:uid="{7057D385-A353-433F-A5BC-72124DD4F7B1}">
    <filterColumn colId="6" showButton="0"/>
    <filterColumn colId="8" showButton="0"/>
    <filterColumn colId="10" showButton="0"/>
  </autoFilter>
  <mergeCells count="15">
    <mergeCell ref="N1:N2"/>
    <mergeCell ref="G13:H13"/>
    <mergeCell ref="I13:J13"/>
    <mergeCell ref="K13:L13"/>
    <mergeCell ref="A1:A2"/>
    <mergeCell ref="B1:B2"/>
    <mergeCell ref="C1:C2"/>
    <mergeCell ref="D1:D2"/>
    <mergeCell ref="E1:E2"/>
    <mergeCell ref="F1:F2"/>
    <mergeCell ref="I15:J15"/>
    <mergeCell ref="K15:L15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2026-03-01T23:31:09Z</dcterms:created>
  <dcterms:modified xsi:type="dcterms:W3CDTF">2026-03-01T23:38:01Z</dcterms:modified>
</cp:coreProperties>
</file>