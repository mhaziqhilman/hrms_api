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B1CCE2FE-038B-4B3E-9866-28CBD7543F81}" xr6:coauthVersionLast="47" xr6:coauthVersionMax="47" xr10:uidLastSave="{00000000-0000-0000-0000-000000000000}"/>
  <bookViews>
    <workbookView xWindow="-108" yWindow="-108" windowWidth="23256" windowHeight="12456" xr2:uid="{462AE4E2-EB14-438E-A09F-8AD5D04C79DD}"/>
  </bookViews>
  <sheets>
    <sheet name="JAN 25" sheetId="1" r:id="rId1"/>
  </sheets>
  <definedNames>
    <definedName name="_xlnm._FilterDatabase" localSheetId="0" hidden="1">'JAN 25'!$A$1:$N$14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K13" i="1"/>
  <c r="N16" i="1" s="1"/>
  <c r="J13" i="1"/>
  <c r="I13" i="1"/>
  <c r="N18" i="1" s="1"/>
  <c r="E13" i="1"/>
  <c r="D13" i="1"/>
  <c r="F12" i="1"/>
  <c r="H12" i="1" s="1"/>
  <c r="H11" i="1"/>
  <c r="N11" i="1" s="1"/>
  <c r="G11" i="1"/>
  <c r="H10" i="1"/>
  <c r="N10" i="1" s="1"/>
  <c r="F10" i="1"/>
  <c r="G10" i="1" s="1"/>
  <c r="F9" i="1"/>
  <c r="H9" i="1" s="1"/>
  <c r="F8" i="1"/>
  <c r="G8" i="1" s="1"/>
  <c r="H7" i="1"/>
  <c r="N7" i="1" s="1"/>
  <c r="F7" i="1"/>
  <c r="G7" i="1" s="1"/>
  <c r="F6" i="1"/>
  <c r="G6" i="1" s="1"/>
  <c r="F5" i="1"/>
  <c r="H4" i="1"/>
  <c r="F4" i="1"/>
  <c r="F13" i="1" s="1"/>
  <c r="H3" i="1"/>
  <c r="N3" i="1" s="1"/>
  <c r="G3" i="1"/>
  <c r="N4" i="1" l="1"/>
  <c r="H8" i="1"/>
  <c r="N8" i="1"/>
  <c r="G9" i="1"/>
  <c r="G12" i="1"/>
  <c r="N12" i="1"/>
  <c r="G5" i="1"/>
  <c r="H5" i="1"/>
  <c r="H13" i="1" s="1"/>
  <c r="H6" i="1"/>
  <c r="N6" i="1"/>
  <c r="N9" i="1"/>
  <c r="G4" i="1"/>
  <c r="N5" i="1" l="1"/>
  <c r="N13" i="1" s="1"/>
  <c r="N15" i="1" s="1"/>
  <c r="G13" i="1"/>
  <c r="N17" i="1" l="1"/>
  <c r="N19" i="1"/>
</calcChain>
</file>

<file path=xl/sharedStrings.xml><?xml version="1.0" encoding="utf-8"?>
<sst xmlns="http://schemas.openxmlformats.org/spreadsheetml/2006/main" count="43" uniqueCount="38">
  <si>
    <t>No</t>
  </si>
  <si>
    <t>Employee No</t>
  </si>
  <si>
    <t>Name</t>
  </si>
  <si>
    <t>Basic Salary Jan 25       (RM)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</si>
  <si>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</si>
  <si>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</si>
  <si>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</si>
  <si>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</si>
  <si>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</si>
  <si>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</si>
  <si>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</si>
  <si>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</si>
  <si>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</si>
  <si>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</si>
  <si>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</si>
  <si>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</si>
  <si>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</si>
  <si>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</si>
  <si>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</si>
  <si>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</si>
  <si>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</si>
  <si>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</si>
  <si>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</si>
  <si>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</si>
  <si>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</si>
  <si>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</si>
  <si>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</si>
  <si>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</si>
  <si>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</si>
  <si>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</si>
  <si>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</si>
  <si>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AVS003</t>
  </si>
  <si>
    <t>AVS043</t>
  </si>
  <si>
    <t>Ungku Mohamed Ismail Adrian bin Ungku Abdul Rahman</t>
  </si>
  <si>
    <t>Salary</t>
  </si>
  <si>
    <t>Socso</t>
  </si>
  <si>
    <t>Total Cost</t>
  </si>
  <si>
    <t>Mohammad Amier Akram bin Mohd Zaki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</si>
</sst>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4" fillId="0" borderId="0" xfId="0" applyFont="1" applyFill="1"/>
    <xf numFmtId="43" fontId="4" fillId="0" borderId="0" xfId="0" applyNumberFormat="1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E15B-850A-46DC-A842-E07F97F8EA2B}">
  <sheetPr>
    <tabColor rgb="FF00B050"/>
  </sheetPr>
  <dimension ref="A1:P28"/>
  <sheetViews>
    <sheetView tabSelected="1" zoomScale="89" zoomScaleNormal="89" workbookViewId="0">
      <selection activeCell="C12" sqref="C12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</v>
      </c>
      <c r="E1" s="42" t="s">
        <v>4</v>
      </c>
      <c r="F1" s="42" t="s">
        <v>5</v>
      </c>
      <c r="G1" s="42" t="s">
        <v>6</v>
      </c>
      <c r="H1" s="42"/>
      <c r="I1" s="42" t="s">
        <v>7</v>
      </c>
      <c r="J1" s="42"/>
      <c r="K1" s="42" t="s">
        <v>8</v>
      </c>
      <c r="L1" s="42"/>
      <c r="M1" s="2" t="s">
        <v>9</v>
      </c>
      <c r="N1" s="42" t="s">
        <v>10</v>
      </c>
    </row>
    <row r="2" spans="1:14" ht="28.8" x14ac:dyDescent="0.3">
      <c r="A2" s="45"/>
      <c r="B2" s="42"/>
      <c r="C2" s="45"/>
      <c r="D2" s="46"/>
      <c r="E2" s="42"/>
      <c r="F2" s="42"/>
      <c r="G2" s="1" t="s">
        <v>11</v>
      </c>
      <c r="H2" s="3" t="s">
        <v>12</v>
      </c>
      <c r="I2" s="1" t="s">
        <v>13</v>
      </c>
      <c r="J2" s="4" t="s">
        <v>14</v>
      </c>
      <c r="K2" s="1" t="s">
        <v>13</v>
      </c>
      <c r="L2" s="5" t="s">
        <v>14</v>
      </c>
      <c r="M2" s="5" t="s">
        <v>14</v>
      </c>
      <c r="N2" s="42"/>
    </row>
    <row r="3" spans="1:14" x14ac:dyDescent="0.3">
      <c r="A3" s="6">
        <v>1</v>
      </c>
      <c r="B3" s="7" t="s">
        <v>15</v>
      </c>
      <c r="C3" s="8" t="s">
        <v>16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12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12" si="2">F3-H3-J3-L3-M3</f>
        <v>4882.1500000000005</v>
      </c>
    </row>
    <row r="4" spans="1:14" x14ac:dyDescent="0.3">
      <c r="A4" s="6">
        <v>2</v>
      </c>
      <c r="B4" s="15" t="s">
        <v>17</v>
      </c>
      <c r="C4" s="8" t="s">
        <v>18</v>
      </c>
      <c r="D4" s="9">
        <v>4620</v>
      </c>
      <c r="E4" s="16"/>
      <c r="F4" s="11">
        <f>D4+E4</f>
        <v>4620</v>
      </c>
      <c r="G4" s="11">
        <f t="shared" si="0"/>
        <v>600.6</v>
      </c>
      <c r="H4" s="12">
        <f t="shared" si="1"/>
        <v>508.2</v>
      </c>
      <c r="I4" s="17">
        <v>81.349999999999994</v>
      </c>
      <c r="J4" s="18">
        <v>23.25</v>
      </c>
      <c r="K4" s="17">
        <v>9.3000000000000007</v>
      </c>
      <c r="L4" s="18">
        <v>9.3000000000000007</v>
      </c>
      <c r="M4" s="13">
        <v>87.2</v>
      </c>
      <c r="N4" s="14">
        <f t="shared" si="2"/>
        <v>3992.05</v>
      </c>
    </row>
    <row r="5" spans="1:14" x14ac:dyDescent="0.3">
      <c r="A5" s="6">
        <v>3</v>
      </c>
      <c r="B5" s="7" t="s">
        <v>19</v>
      </c>
      <c r="C5" s="8" t="s">
        <v>20</v>
      </c>
      <c r="D5" s="9">
        <v>7000</v>
      </c>
      <c r="E5" s="10"/>
      <c r="F5" s="9">
        <f t="shared" ref="F5:F12" si="3">D5+E5</f>
        <v>7000</v>
      </c>
      <c r="G5" s="9">
        <f>F5*0.12</f>
        <v>840</v>
      </c>
      <c r="H5" s="12">
        <f t="shared" si="1"/>
        <v>770</v>
      </c>
      <c r="I5" s="19">
        <v>104.15</v>
      </c>
      <c r="J5" s="20">
        <v>29.75</v>
      </c>
      <c r="K5" s="19">
        <v>11.9</v>
      </c>
      <c r="L5" s="20">
        <v>11.9</v>
      </c>
      <c r="M5" s="13">
        <v>324.2</v>
      </c>
      <c r="N5" s="14">
        <f t="shared" si="2"/>
        <v>5864.1500000000005</v>
      </c>
    </row>
    <row r="6" spans="1:14" x14ac:dyDescent="0.3">
      <c r="A6" s="6">
        <v>4</v>
      </c>
      <c r="B6" s="7" t="s">
        <v>21</v>
      </c>
      <c r="C6" s="8" t="s">
        <v>22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23</v>
      </c>
      <c r="C7" s="8" t="s">
        <v>24</v>
      </c>
      <c r="D7" s="9">
        <v>4500</v>
      </c>
      <c r="E7" s="10"/>
      <c r="F7" s="9">
        <f t="shared" si="3"/>
        <v>4500</v>
      </c>
      <c r="G7" s="9">
        <f>F7*0.13</f>
        <v>585</v>
      </c>
      <c r="H7" s="12">
        <f t="shared" si="1"/>
        <v>495</v>
      </c>
      <c r="I7" s="19">
        <v>77.849999999999994</v>
      </c>
      <c r="J7" s="20">
        <v>22.25</v>
      </c>
      <c r="K7" s="19">
        <v>8.9</v>
      </c>
      <c r="L7" s="20">
        <v>8.9</v>
      </c>
      <c r="M7" s="13">
        <v>80</v>
      </c>
      <c r="N7" s="14">
        <f t="shared" si="2"/>
        <v>3893.85</v>
      </c>
    </row>
    <row r="8" spans="1:14" x14ac:dyDescent="0.3">
      <c r="A8" s="6">
        <v>6</v>
      </c>
      <c r="B8" s="7" t="s">
        <v>25</v>
      </c>
      <c r="C8" s="8" t="s">
        <v>26</v>
      </c>
      <c r="D8" s="9">
        <v>4900</v>
      </c>
      <c r="E8" s="10"/>
      <c r="F8" s="11">
        <f t="shared" si="3"/>
        <v>4900</v>
      </c>
      <c r="G8" s="9">
        <f t="shared" ref="G8:G11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27</v>
      </c>
      <c r="C9" s="8" t="s">
        <v>28</v>
      </c>
      <c r="D9" s="9">
        <v>3700</v>
      </c>
      <c r="E9" s="16"/>
      <c r="F9" s="11">
        <f t="shared" si="3"/>
        <v>3700</v>
      </c>
      <c r="G9" s="9">
        <f>F9*0.12</f>
        <v>444</v>
      </c>
      <c r="H9" s="12">
        <f t="shared" si="1"/>
        <v>407</v>
      </c>
      <c r="I9" s="17">
        <v>63.85</v>
      </c>
      <c r="J9" s="18">
        <v>18.25</v>
      </c>
      <c r="K9" s="17">
        <v>7.3</v>
      </c>
      <c r="L9" s="18">
        <v>7.3</v>
      </c>
      <c r="M9" s="13"/>
      <c r="N9" s="14">
        <f t="shared" si="2"/>
        <v>3267.45</v>
      </c>
    </row>
    <row r="10" spans="1:14" x14ac:dyDescent="0.3">
      <c r="A10" s="6">
        <v>8</v>
      </c>
      <c r="B10" s="7" t="s">
        <v>29</v>
      </c>
      <c r="C10" s="8" t="s">
        <v>30</v>
      </c>
      <c r="D10" s="9">
        <v>3900</v>
      </c>
      <c r="E10" s="16"/>
      <c r="F10" s="11">
        <f t="shared" si="3"/>
        <v>3900</v>
      </c>
      <c r="G10" s="9">
        <f t="shared" si="4"/>
        <v>507</v>
      </c>
      <c r="H10" s="12">
        <f t="shared" si="1"/>
        <v>429</v>
      </c>
      <c r="I10" s="17">
        <v>67.349999999999994</v>
      </c>
      <c r="J10" s="18">
        <v>19.25</v>
      </c>
      <c r="K10" s="17">
        <v>7.7</v>
      </c>
      <c r="L10" s="18">
        <v>7.7</v>
      </c>
      <c r="M10" s="13">
        <v>13.7</v>
      </c>
      <c r="N10" s="14">
        <f t="shared" si="2"/>
        <v>3430.3500000000004</v>
      </c>
    </row>
    <row r="11" spans="1:14" s="51" customFormat="1" x14ac:dyDescent="0.3">
      <c r="A11" s="47">
        <v>9</v>
      </c>
      <c r="B11" s="48" t="s">
        <v>31</v>
      </c>
      <c r="C11" s="49" t="s">
        <v>37</v>
      </c>
      <c r="D11" s="9">
        <v>8500</v>
      </c>
      <c r="E11" s="16"/>
      <c r="F11" s="11">
        <v>8500</v>
      </c>
      <c r="G11" s="9">
        <f t="shared" si="4"/>
        <v>1105</v>
      </c>
      <c r="H11" s="11">
        <f t="shared" si="1"/>
        <v>935</v>
      </c>
      <c r="I11" s="9">
        <v>104.15</v>
      </c>
      <c r="J11" s="9">
        <v>29.75</v>
      </c>
      <c r="K11" s="9">
        <v>11.9</v>
      </c>
      <c r="L11" s="9">
        <v>11.9</v>
      </c>
      <c r="M11" s="9">
        <v>514.20000000000005</v>
      </c>
      <c r="N11" s="50">
        <f t="shared" si="2"/>
        <v>7009.1500000000005</v>
      </c>
    </row>
    <row r="12" spans="1:14" s="6" customFormat="1" ht="28.8" x14ac:dyDescent="0.3">
      <c r="A12" s="6">
        <v>10</v>
      </c>
      <c r="B12" s="6" t="s">
        <v>32</v>
      </c>
      <c r="C12" s="21" t="s">
        <v>33</v>
      </c>
      <c r="D12" s="22">
        <v>4700</v>
      </c>
      <c r="E12" s="23">
        <v>300</v>
      </c>
      <c r="F12" s="22">
        <f t="shared" si="3"/>
        <v>5000</v>
      </c>
      <c r="G12" s="24">
        <f>F12*0.13</f>
        <v>650</v>
      </c>
      <c r="H12" s="25">
        <f t="shared" si="1"/>
        <v>550</v>
      </c>
      <c r="I12" s="26">
        <v>86.65</v>
      </c>
      <c r="J12" s="27">
        <v>24.75</v>
      </c>
      <c r="K12" s="26">
        <v>9.9</v>
      </c>
      <c r="L12" s="27">
        <v>9.9</v>
      </c>
      <c r="M12" s="27">
        <v>110</v>
      </c>
      <c r="N12" s="28">
        <f t="shared" si="2"/>
        <v>4305.3500000000004</v>
      </c>
    </row>
    <row r="13" spans="1:14" x14ac:dyDescent="0.3">
      <c r="D13" s="29">
        <f>SUM(D3:D12)</f>
        <v>55020</v>
      </c>
      <c r="E13" s="29">
        <f t="shared" ref="E13:L13" si="5">SUM(E3:E12)</f>
        <v>300</v>
      </c>
      <c r="F13" s="29">
        <f>SUM(F3:F12)</f>
        <v>55320</v>
      </c>
      <c r="G13" s="30">
        <f>SUM(G3:G12)</f>
        <v>7009.6</v>
      </c>
      <c r="H13" s="29">
        <f>SUM(H3:H12)</f>
        <v>6085.2</v>
      </c>
      <c r="I13" s="30">
        <f t="shared" si="5"/>
        <v>861</v>
      </c>
      <c r="J13" s="29">
        <f t="shared" si="5"/>
        <v>246</v>
      </c>
      <c r="K13" s="30">
        <f t="shared" si="5"/>
        <v>98.4</v>
      </c>
      <c r="L13" s="29">
        <f t="shared" si="5"/>
        <v>98.4</v>
      </c>
      <c r="M13" s="29">
        <f>SUM(M3:M12)</f>
        <v>1777</v>
      </c>
      <c r="N13" s="29">
        <f>SUM(N3:N12)</f>
        <v>47113.4</v>
      </c>
    </row>
    <row r="14" spans="1:14" x14ac:dyDescent="0.3">
      <c r="C14" s="31"/>
      <c r="D14" s="9"/>
      <c r="G14" s="43"/>
      <c r="H14" s="44"/>
      <c r="I14" s="43"/>
      <c r="J14" s="44"/>
      <c r="K14" s="43"/>
      <c r="L14" s="44"/>
      <c r="M14" s="9"/>
      <c r="N14" s="8"/>
    </row>
    <row r="15" spans="1:14" x14ac:dyDescent="0.3">
      <c r="C15" s="32"/>
      <c r="D15" s="14"/>
      <c r="G15" s="8"/>
      <c r="H15" s="9"/>
      <c r="I15" s="33"/>
      <c r="J15" s="33"/>
      <c r="K15" s="34"/>
      <c r="L15" s="35"/>
      <c r="M15" s="36" t="s">
        <v>34</v>
      </c>
      <c r="N15" s="14">
        <f>N13</f>
        <v>47113.4</v>
      </c>
    </row>
    <row r="16" spans="1:14" x14ac:dyDescent="0.3">
      <c r="D16" s="8"/>
      <c r="G16" s="8"/>
      <c r="H16" s="14"/>
      <c r="I16" s="40"/>
      <c r="J16" s="41"/>
      <c r="K16" s="40"/>
      <c r="L16" s="41"/>
      <c r="M16" s="36" t="s">
        <v>8</v>
      </c>
      <c r="N16" s="14">
        <f>K13</f>
        <v>98.4</v>
      </c>
    </row>
    <row r="17" spans="3:16" x14ac:dyDescent="0.3">
      <c r="D17" s="8"/>
      <c r="J17" s="37"/>
      <c r="L17" s="11"/>
      <c r="M17" s="36" t="s">
        <v>6</v>
      </c>
      <c r="N17" s="37">
        <f>G13</f>
        <v>7009.6</v>
      </c>
    </row>
    <row r="18" spans="3:16" x14ac:dyDescent="0.3">
      <c r="C18" s="38"/>
      <c r="D18" s="14"/>
      <c r="E18" s="37"/>
      <c r="F18" s="37"/>
      <c r="G18" s="37"/>
      <c r="L18" s="11"/>
      <c r="M18" s="36" t="s">
        <v>35</v>
      </c>
      <c r="N18" s="37">
        <f>I13</f>
        <v>861</v>
      </c>
    </row>
    <row r="19" spans="3:16" ht="15" thickBot="1" x14ac:dyDescent="0.35">
      <c r="D19" s="8"/>
      <c r="L19" s="11"/>
      <c r="M19" s="39" t="s">
        <v>36</v>
      </c>
      <c r="N19" s="29">
        <f>SUM(F13,G13,I13,K13)</f>
        <v>63289</v>
      </c>
      <c r="P19" s="37"/>
    </row>
    <row r="20" spans="3:16" ht="15" thickTop="1" x14ac:dyDescent="0.3">
      <c r="L20" s="11"/>
      <c r="M20" s="11"/>
    </row>
    <row r="22" spans="3:16" x14ac:dyDescent="0.3">
      <c r="I22" s="19"/>
    </row>
    <row r="23" spans="3:16" x14ac:dyDescent="0.3">
      <c r="I23" s="19"/>
    </row>
    <row r="24" spans="3:16" x14ac:dyDescent="0.3">
      <c r="I24" s="37"/>
    </row>
    <row r="28" spans="3:16" x14ac:dyDescent="0.3">
      <c r="I28" s="37"/>
    </row>
  </sheetData>
  <autoFilter ref="A1:N14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4:H14"/>
    <mergeCell ref="I14:J14"/>
    <mergeCell ref="K14:L14"/>
    <mergeCell ref="A1:A2"/>
    <mergeCell ref="B1:B2"/>
    <mergeCell ref="C1:C2"/>
    <mergeCell ref="D1:D2"/>
    <mergeCell ref="E1:E2"/>
    <mergeCell ref="F1:F2"/>
    <mergeCell ref="I16:J16"/>
    <mergeCell ref="K16:L16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2026-03-01T23:31:20Z</dcterms:created>
  <dcterms:modified xsi:type="dcterms:W3CDTF">2026-03-01T23:39:26Z</dcterms:modified>
</cp:coreProperties>
</file>