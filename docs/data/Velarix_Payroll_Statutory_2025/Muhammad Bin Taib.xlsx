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ziq\Averroes Data Science\Company\Velarix Technology Sdn Bhd\HR\Payslip\Statutory 2025\"/>
    </mc:Choice>
  </mc:AlternateContent>
  <xr:revisionPtr revIDLastSave="0" documentId="13_ncr:1_{72FD2016-AEBE-40C7-9757-A56B650F9812}" xr6:coauthVersionLast="47" xr6:coauthVersionMax="47" xr10:uidLastSave="{00000000-0000-0000-0000-000000000000}"/>
  <bookViews>
    <workbookView xWindow="-108" yWindow="-108" windowWidth="23256" windowHeight="12456" xr2:uid="{F4AAC845-50A9-4E85-A34E-0B3A75ADEF28}"/>
  </bookViews>
  <sheets>
    <sheet name="Dedu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1" l="1"/>
  <c r="N14" i="1"/>
  <c r="M14" i="1"/>
  <c r="H14" i="1"/>
  <c r="G14" i="1"/>
  <c r="F14" i="1"/>
  <c r="E14" i="1"/>
  <c r="D12" i="1"/>
  <c r="D11" i="1"/>
  <c r="D10" i="1"/>
  <c r="D9" i="1"/>
  <c r="D8" i="1"/>
  <c r="D7" i="1"/>
  <c r="D6" i="1"/>
  <c r="K5" i="1"/>
  <c r="K6" i="1" s="1"/>
  <c r="K7" i="1" s="1"/>
  <c r="K8" i="1" s="1"/>
  <c r="K9" i="1" s="1"/>
  <c r="K10" i="1" s="1"/>
  <c r="K11" i="1" s="1"/>
  <c r="K12" i="1" s="1"/>
  <c r="J5" i="1"/>
  <c r="J6" i="1" s="1"/>
  <c r="J7" i="1" s="1"/>
  <c r="J8" i="1" s="1"/>
  <c r="J9" i="1" s="1"/>
  <c r="J10" i="1" s="1"/>
  <c r="J11" i="1" s="1"/>
  <c r="J12" i="1" s="1"/>
  <c r="I5" i="1"/>
  <c r="I6" i="1" s="1"/>
  <c r="I7" i="1" s="1"/>
  <c r="I8" i="1" s="1"/>
  <c r="I9" i="1" s="1"/>
  <c r="I10" i="1" s="1"/>
  <c r="I11" i="1" s="1"/>
  <c r="I12" i="1" s="1"/>
  <c r="D5" i="1"/>
  <c r="K4" i="1"/>
  <c r="J4" i="1"/>
  <c r="I4" i="1"/>
  <c r="D4" i="1"/>
  <c r="R3" i="1"/>
  <c r="R4" i="1" s="1"/>
  <c r="R5" i="1" s="1"/>
  <c r="R6" i="1" s="1"/>
  <c r="R7" i="1" s="1"/>
  <c r="R8" i="1" s="1"/>
  <c r="R9" i="1" s="1"/>
  <c r="R10" i="1" s="1"/>
  <c r="R11" i="1" s="1"/>
  <c r="R12" i="1" s="1"/>
  <c r="Q3" i="1"/>
  <c r="Q4" i="1" s="1"/>
  <c r="Q5" i="1" s="1"/>
  <c r="Q6" i="1" s="1"/>
  <c r="Q7" i="1" s="1"/>
  <c r="Q8" i="1" s="1"/>
  <c r="Q9" i="1" s="1"/>
  <c r="Q10" i="1" s="1"/>
  <c r="Q11" i="1" s="1"/>
  <c r="Q12" i="1" s="1"/>
  <c r="P3" i="1"/>
  <c r="P4" i="1" s="1"/>
  <c r="P5" i="1" s="1"/>
  <c r="P6" i="1" s="1"/>
  <c r="P7" i="1" s="1"/>
  <c r="P8" i="1" s="1"/>
  <c r="P9" i="1" s="1"/>
  <c r="P10" i="1" s="1"/>
  <c r="P11" i="1" s="1"/>
  <c r="P12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K3" i="1"/>
  <c r="J3" i="1"/>
  <c r="D3" i="1"/>
  <c r="D14" i="1" l="1"/>
</calcChain>
</file>

<file path=xl/sharedStrings.xml><?xml version="1.0" encoding="utf-8"?>
<sst xmlns="http://schemas.openxmlformats.org/spreadsheetml/2006/main" count="34" uniqueCount="23">
  <si>
    <t>Year</t>
  </si>
  <si>
    <t>Month</t>
  </si>
  <si>
    <t>Salary</t>
  </si>
  <si>
    <t>Net Salary</t>
  </si>
  <si>
    <t>Deduction Employee</t>
  </si>
  <si>
    <t>YTD Employee</t>
  </si>
  <si>
    <t>Deduction Employer</t>
  </si>
  <si>
    <t>YTD Employer</t>
  </si>
  <si>
    <t>EPF</t>
  </si>
  <si>
    <t>Socso</t>
  </si>
  <si>
    <t>EIS</t>
  </si>
  <si>
    <t>Income Tax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</si>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</sst>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b/>
      <sz val="10"/>
      <color rgb="FF000000"/>
      <name val="Inter"/>
      <family val="3"/>
    </font>
    <font>
      <sz val="10"/>
      <color rgb="FF000000"/>
      <name val="Inter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right" vertical="top"/>
    </xf>
    <xf numFmtId="0" fontId="2" fillId="0" borderId="0" xfId="0" applyFont="1" applyAlignment="1">
      <alignment horizontal="left" vertical="top"/>
    </xf>
    <xf numFmtId="0" fontId="1" fillId="0" borderId="5" xfId="0" applyFont="1" applyBorder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8F188-8047-42C6-B0F5-3CB32BA222CB}">
  <dimension ref="A1:R14"/>
  <sheetViews>
    <sheetView tabSelected="1" workbookViewId="0">
      <selection activeCell="H17" sqref="H17"/>
    </sheetView>
  </sheetViews>
  <sheetFormatPr defaultRowHeight="13.2" x14ac:dyDescent="0.25"/>
  <cols>
    <col min="1" max="3" width="8.88671875" style="5"/>
    <col min="4" max="4" width="12.33203125" style="5" customWidth="1"/>
    <col min="5" max="5" width="14.109375" style="5" bestFit="1" customWidth="1"/>
    <col min="6" max="7" width="8.88671875" style="5"/>
    <col min="8" max="8" width="11.33203125" style="5" bestFit="1" customWidth="1"/>
    <col min="9" max="9" width="14.109375" style="5" bestFit="1" customWidth="1"/>
    <col min="10" max="11" width="8.88671875" style="5"/>
    <col min="12" max="12" width="11.33203125" style="5" bestFit="1" customWidth="1"/>
    <col min="13" max="13" width="13.6640625" style="5" bestFit="1" customWidth="1"/>
    <col min="14" max="15" width="8.88671875" style="5"/>
    <col min="16" max="16" width="13.6640625" style="5" bestFit="1" customWidth="1"/>
    <col min="17" max="16384" width="8.88671875" style="5"/>
  </cols>
  <sheetData>
    <row r="1" spans="1:18" s="2" customFormat="1" x14ac:dyDescent="0.25">
      <c r="A1" s="9" t="s">
        <v>0</v>
      </c>
      <c r="B1" s="9" t="s">
        <v>1</v>
      </c>
      <c r="C1" s="15" t="s">
        <v>2</v>
      </c>
      <c r="D1" s="15" t="s">
        <v>3</v>
      </c>
      <c r="E1" s="9" t="s">
        <v>4</v>
      </c>
      <c r="F1" s="9"/>
      <c r="G1" s="9"/>
      <c r="H1" s="9"/>
      <c r="I1" s="9" t="s">
        <v>5</v>
      </c>
      <c r="J1" s="9"/>
      <c r="K1" s="9"/>
      <c r="L1" s="9"/>
      <c r="M1" s="9" t="s">
        <v>6</v>
      </c>
      <c r="N1" s="9"/>
      <c r="O1" s="9"/>
      <c r="P1" s="9" t="s">
        <v>7</v>
      </c>
      <c r="Q1" s="9"/>
      <c r="R1" s="9"/>
    </row>
    <row r="2" spans="1:18" s="2" customFormat="1" x14ac:dyDescent="0.25">
      <c r="A2" s="9"/>
      <c r="B2" s="9"/>
      <c r="C2" s="16"/>
      <c r="D2" s="16"/>
      <c r="E2" s="1" t="s">
        <v>8</v>
      </c>
      <c r="F2" s="1" t="s">
        <v>9</v>
      </c>
      <c r="G2" s="1" t="s">
        <v>10</v>
      </c>
      <c r="H2" s="1" t="s">
        <v>11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8</v>
      </c>
      <c r="N2" s="1" t="s">
        <v>9</v>
      </c>
      <c r="O2" s="1" t="s">
        <v>10</v>
      </c>
      <c r="P2" s="1" t="s">
        <v>8</v>
      </c>
      <c r="Q2" s="1" t="s">
        <v>9</v>
      </c>
      <c r="R2" s="1" t="s">
        <v>10</v>
      </c>
    </row>
    <row r="3" spans="1:18" x14ac:dyDescent="0.25">
      <c r="A3" s="3">
        <v>2025</v>
      </c>
      <c r="B3" s="3" t="s">
        <v>12</v>
      </c>
      <c r="C3" s="4">
        <v>3900</v>
      </c>
      <c r="D3" s="4">
        <f>C3-SUM(E3:H3)</f>
        <v>3430.35</v>
      </c>
      <c r="E3" s="4">
        <v>429</v>
      </c>
      <c r="F3" s="4">
        <v>19.25</v>
      </c>
      <c r="G3" s="4">
        <v>7.7</v>
      </c>
      <c r="H3" s="4">
        <v>13.7</v>
      </c>
      <c r="I3" s="4">
        <v>429</v>
      </c>
      <c r="J3" s="4">
        <f t="shared" ref="J3:L3" si="0">SUM(F3)</f>
        <v>19.25</v>
      </c>
      <c r="K3" s="4">
        <f t="shared" si="0"/>
        <v>7.7</v>
      </c>
      <c r="L3" s="4">
        <f t="shared" si="0"/>
        <v>13.7</v>
      </c>
      <c r="M3" s="4">
        <v>507</v>
      </c>
      <c r="N3" s="4">
        <v>67.349999999999994</v>
      </c>
      <c r="O3" s="4">
        <v>7.7</v>
      </c>
      <c r="P3" s="4">
        <f>SUM(M3)</f>
        <v>507</v>
      </c>
      <c r="Q3" s="4">
        <f>SUM(N3)</f>
        <v>67.349999999999994</v>
      </c>
      <c r="R3" s="4">
        <f>SUM(O3)</f>
        <v>7.7</v>
      </c>
    </row>
    <row r="4" spans="1:18" x14ac:dyDescent="0.25">
      <c r="A4" s="3">
        <v>2025</v>
      </c>
      <c r="B4" s="3" t="s">
        <v>13</v>
      </c>
      <c r="C4" s="4">
        <v>3900</v>
      </c>
      <c r="D4" s="4">
        <f t="shared" ref="D4:D12" si="1">C4-SUM(E4:H4)</f>
        <v>3427.35</v>
      </c>
      <c r="E4" s="4">
        <v>429</v>
      </c>
      <c r="F4" s="4">
        <v>19.25</v>
      </c>
      <c r="G4" s="4">
        <v>7.7</v>
      </c>
      <c r="H4" s="4">
        <v>16.7</v>
      </c>
      <c r="I4" s="4">
        <f>SUM(I3,E4)</f>
        <v>858</v>
      </c>
      <c r="J4" s="4">
        <f t="shared" ref="J4:L12" si="2">SUM(J3,F4)</f>
        <v>38.5</v>
      </c>
      <c r="K4" s="4">
        <f t="shared" si="2"/>
        <v>15.4</v>
      </c>
      <c r="L4" s="4">
        <f t="shared" si="2"/>
        <v>30.4</v>
      </c>
      <c r="M4" s="4">
        <v>507</v>
      </c>
      <c r="N4" s="4">
        <v>67.349999999999994</v>
      </c>
      <c r="O4" s="4">
        <v>7.7</v>
      </c>
      <c r="P4" s="4">
        <f>SUM(P3,M4)</f>
        <v>1014</v>
      </c>
      <c r="Q4" s="4">
        <f>SUM(Q3,N4)</f>
        <v>134.69999999999999</v>
      </c>
      <c r="R4" s="4">
        <f>SUM(R3,O4)</f>
        <v>15.4</v>
      </c>
    </row>
    <row r="5" spans="1:18" x14ac:dyDescent="0.25">
      <c r="A5" s="3">
        <v>2025</v>
      </c>
      <c r="B5" s="3" t="s">
        <v>14</v>
      </c>
      <c r="C5" s="4">
        <v>3900</v>
      </c>
      <c r="D5" s="4">
        <f t="shared" si="1"/>
        <v>3427.35</v>
      </c>
      <c r="E5" s="4">
        <v>429</v>
      </c>
      <c r="F5" s="4">
        <v>19.25</v>
      </c>
      <c r="G5" s="4">
        <v>7.7</v>
      </c>
      <c r="H5" s="4">
        <v>16.7</v>
      </c>
      <c r="I5" s="4">
        <f t="shared" ref="I5:I12" si="3">SUM(I4,E5)</f>
        <v>1287</v>
      </c>
      <c r="J5" s="4">
        <f t="shared" si="2"/>
        <v>57.75</v>
      </c>
      <c r="K5" s="4">
        <f t="shared" si="2"/>
        <v>23.1</v>
      </c>
      <c r="L5" s="4">
        <f t="shared" si="2"/>
        <v>47.099999999999994</v>
      </c>
      <c r="M5" s="4">
        <v>507</v>
      </c>
      <c r="N5" s="4">
        <v>67.349999999999994</v>
      </c>
      <c r="O5" s="4">
        <v>7.7</v>
      </c>
      <c r="P5" s="4">
        <f t="shared" ref="P5:R12" si="4">SUM(P4,M5)</f>
        <v>1521</v>
      </c>
      <c r="Q5" s="4">
        <f t="shared" si="4"/>
        <v>202.04999999999998</v>
      </c>
      <c r="R5" s="4">
        <f t="shared" si="4"/>
        <v>23.1</v>
      </c>
    </row>
    <row r="6" spans="1:18" x14ac:dyDescent="0.25">
      <c r="A6" s="3">
        <v>2025</v>
      </c>
      <c r="B6" s="3" t="s">
        <v>15</v>
      </c>
      <c r="C6" s="4">
        <v>3900</v>
      </c>
      <c r="D6" s="4">
        <f t="shared" si="1"/>
        <v>3427.35</v>
      </c>
      <c r="E6" s="4">
        <v>429</v>
      </c>
      <c r="F6" s="4">
        <v>19.25</v>
      </c>
      <c r="G6" s="4">
        <v>7.7</v>
      </c>
      <c r="H6" s="4">
        <v>16.7</v>
      </c>
      <c r="I6" s="4">
        <f t="shared" si="3"/>
        <v>1716</v>
      </c>
      <c r="J6" s="4">
        <f t="shared" si="2"/>
        <v>77</v>
      </c>
      <c r="K6" s="4">
        <f t="shared" si="2"/>
        <v>30.8</v>
      </c>
      <c r="L6" s="4">
        <f t="shared" si="2"/>
        <v>63.8</v>
      </c>
      <c r="M6" s="4">
        <v>507</v>
      </c>
      <c r="N6" s="4">
        <v>67.349999999999994</v>
      </c>
      <c r="O6" s="4">
        <v>7.7</v>
      </c>
      <c r="P6" s="4">
        <f t="shared" si="4"/>
        <v>2028</v>
      </c>
      <c r="Q6" s="4">
        <f t="shared" si="4"/>
        <v>269.39999999999998</v>
      </c>
      <c r="R6" s="4">
        <f t="shared" si="4"/>
        <v>30.8</v>
      </c>
    </row>
    <row r="7" spans="1:18" x14ac:dyDescent="0.25">
      <c r="A7" s="3">
        <v>2025</v>
      </c>
      <c r="B7" s="3" t="s">
        <v>16</v>
      </c>
      <c r="C7" s="4">
        <v>3900</v>
      </c>
      <c r="D7" s="4">
        <f t="shared" si="1"/>
        <v>3427.35</v>
      </c>
      <c r="E7" s="4">
        <v>429</v>
      </c>
      <c r="F7" s="4">
        <v>19.25</v>
      </c>
      <c r="G7" s="4">
        <v>7.7</v>
      </c>
      <c r="H7" s="4">
        <v>16.7</v>
      </c>
      <c r="I7" s="4">
        <f t="shared" si="3"/>
        <v>2145</v>
      </c>
      <c r="J7" s="4">
        <f t="shared" si="2"/>
        <v>96.25</v>
      </c>
      <c r="K7" s="4">
        <f t="shared" si="2"/>
        <v>38.5</v>
      </c>
      <c r="L7" s="4">
        <f t="shared" si="2"/>
        <v>80.5</v>
      </c>
      <c r="M7" s="4">
        <v>507</v>
      </c>
      <c r="N7" s="4">
        <v>67.349999999999994</v>
      </c>
      <c r="O7" s="4">
        <v>7.7</v>
      </c>
      <c r="P7" s="4">
        <f t="shared" si="4"/>
        <v>2535</v>
      </c>
      <c r="Q7" s="4">
        <f t="shared" si="4"/>
        <v>336.75</v>
      </c>
      <c r="R7" s="4">
        <f t="shared" si="4"/>
        <v>38.5</v>
      </c>
    </row>
    <row r="8" spans="1:18" x14ac:dyDescent="0.25">
      <c r="A8" s="3">
        <v>2025</v>
      </c>
      <c r="B8" s="3" t="s">
        <v>17</v>
      </c>
      <c r="C8" s="4">
        <v>3900</v>
      </c>
      <c r="D8" s="4">
        <f t="shared" si="1"/>
        <v>3427.35</v>
      </c>
      <c r="E8" s="4">
        <v>429</v>
      </c>
      <c r="F8" s="4">
        <v>19.25</v>
      </c>
      <c r="G8" s="4">
        <v>7.7</v>
      </c>
      <c r="H8" s="4">
        <v>16.7</v>
      </c>
      <c r="I8" s="4">
        <f t="shared" si="3"/>
        <v>2574</v>
      </c>
      <c r="J8" s="4">
        <f t="shared" si="2"/>
        <v>115.5</v>
      </c>
      <c r="K8" s="4">
        <f t="shared" si="2"/>
        <v>46.2</v>
      </c>
      <c r="L8" s="4">
        <f t="shared" si="2"/>
        <v>97.2</v>
      </c>
      <c r="M8" s="4">
        <v>507</v>
      </c>
      <c r="N8" s="4">
        <v>67.349999999999994</v>
      </c>
      <c r="O8" s="4">
        <v>7.7</v>
      </c>
      <c r="P8" s="4">
        <f t="shared" si="4"/>
        <v>3042</v>
      </c>
      <c r="Q8" s="4">
        <f t="shared" si="4"/>
        <v>404.1</v>
      </c>
      <c r="R8" s="4">
        <f t="shared" si="4"/>
        <v>46.2</v>
      </c>
    </row>
    <row r="9" spans="1:18" x14ac:dyDescent="0.25">
      <c r="A9" s="3">
        <v>2025</v>
      </c>
      <c r="B9" s="3" t="s">
        <v>18</v>
      </c>
      <c r="C9" s="4">
        <v>4200</v>
      </c>
      <c r="D9" s="4">
        <f t="shared" si="1"/>
        <v>3683.25</v>
      </c>
      <c r="E9" s="4">
        <v>462</v>
      </c>
      <c r="F9" s="4">
        <v>20.75</v>
      </c>
      <c r="G9" s="4">
        <v>8.3000000000000007</v>
      </c>
      <c r="H9" s="4">
        <v>25.7</v>
      </c>
      <c r="I9" s="4">
        <f t="shared" si="3"/>
        <v>3036</v>
      </c>
      <c r="J9" s="4">
        <f t="shared" si="2"/>
        <v>136.25</v>
      </c>
      <c r="K9" s="4">
        <f t="shared" si="2"/>
        <v>54.5</v>
      </c>
      <c r="L9" s="4">
        <f t="shared" si="2"/>
        <v>122.9</v>
      </c>
      <c r="M9" s="4">
        <v>546</v>
      </c>
      <c r="N9" s="4">
        <v>72.650000000000006</v>
      </c>
      <c r="O9" s="4">
        <v>8.3000000000000007</v>
      </c>
      <c r="P9" s="4">
        <f t="shared" si="4"/>
        <v>3588</v>
      </c>
      <c r="Q9" s="4">
        <f t="shared" si="4"/>
        <v>476.75</v>
      </c>
      <c r="R9" s="4">
        <f t="shared" si="4"/>
        <v>54.5</v>
      </c>
    </row>
    <row r="10" spans="1:18" x14ac:dyDescent="0.25">
      <c r="A10" s="3">
        <v>2025</v>
      </c>
      <c r="B10" s="3" t="s">
        <v>19</v>
      </c>
      <c r="C10" s="4">
        <v>4300</v>
      </c>
      <c r="D10" s="4">
        <f t="shared" si="1"/>
        <v>3632.2</v>
      </c>
      <c r="E10" s="4">
        <v>473</v>
      </c>
      <c r="F10" s="4">
        <v>21.25</v>
      </c>
      <c r="G10" s="4">
        <v>8.5</v>
      </c>
      <c r="H10" s="4">
        <v>165.05</v>
      </c>
      <c r="I10" s="4">
        <f t="shared" si="3"/>
        <v>3509</v>
      </c>
      <c r="J10" s="4">
        <f t="shared" si="2"/>
        <v>157.5</v>
      </c>
      <c r="K10" s="4">
        <f t="shared" si="2"/>
        <v>63</v>
      </c>
      <c r="L10" s="4">
        <f t="shared" si="2"/>
        <v>287.95000000000005</v>
      </c>
      <c r="M10" s="4">
        <v>559</v>
      </c>
      <c r="N10" s="4">
        <v>74.349999999999994</v>
      </c>
      <c r="O10" s="4">
        <v>8.5</v>
      </c>
      <c r="P10" s="4">
        <f t="shared" si="4"/>
        <v>4147</v>
      </c>
      <c r="Q10" s="4">
        <f t="shared" si="4"/>
        <v>551.1</v>
      </c>
      <c r="R10" s="4">
        <f t="shared" si="4"/>
        <v>63</v>
      </c>
    </row>
    <row r="11" spans="1:18" x14ac:dyDescent="0.25">
      <c r="A11" s="3">
        <v>2025</v>
      </c>
      <c r="B11" s="3" t="s">
        <v>20</v>
      </c>
      <c r="C11" s="4">
        <v>4300</v>
      </c>
      <c r="D11" s="4">
        <f t="shared" si="1"/>
        <v>3632.2</v>
      </c>
      <c r="E11" s="4">
        <v>473</v>
      </c>
      <c r="F11" s="4">
        <v>21.25</v>
      </c>
      <c r="G11" s="4">
        <v>8.5</v>
      </c>
      <c r="H11" s="4">
        <v>165.05</v>
      </c>
      <c r="I11" s="4">
        <f t="shared" si="3"/>
        <v>3982</v>
      </c>
      <c r="J11" s="4">
        <f t="shared" si="2"/>
        <v>178.75</v>
      </c>
      <c r="K11" s="4">
        <f t="shared" si="2"/>
        <v>71.5</v>
      </c>
      <c r="L11" s="4">
        <f t="shared" si="2"/>
        <v>453.00000000000006</v>
      </c>
      <c r="M11" s="4">
        <v>559</v>
      </c>
      <c r="N11" s="4">
        <v>74.349999999999994</v>
      </c>
      <c r="O11" s="4">
        <v>8.5</v>
      </c>
      <c r="P11" s="4">
        <f t="shared" si="4"/>
        <v>4706</v>
      </c>
      <c r="Q11" s="4">
        <f t="shared" si="4"/>
        <v>625.45000000000005</v>
      </c>
      <c r="R11" s="4">
        <f t="shared" si="4"/>
        <v>71.5</v>
      </c>
    </row>
    <row r="12" spans="1:18" x14ac:dyDescent="0.25">
      <c r="A12" s="3">
        <v>2025</v>
      </c>
      <c r="B12" s="3" t="s">
        <v>21</v>
      </c>
      <c r="C12" s="4">
        <v>4300</v>
      </c>
      <c r="D12" s="4">
        <f t="shared" si="1"/>
        <v>3632.2</v>
      </c>
      <c r="E12" s="4">
        <v>473</v>
      </c>
      <c r="F12" s="4">
        <v>21.25</v>
      </c>
      <c r="G12" s="4">
        <v>8.5</v>
      </c>
      <c r="H12" s="4">
        <v>165.05</v>
      </c>
      <c r="I12" s="4">
        <f t="shared" si="3"/>
        <v>4455</v>
      </c>
      <c r="J12" s="4">
        <f t="shared" si="2"/>
        <v>200</v>
      </c>
      <c r="K12" s="4">
        <f t="shared" si="2"/>
        <v>80</v>
      </c>
      <c r="L12" s="4">
        <f t="shared" si="2"/>
        <v>618.05000000000007</v>
      </c>
      <c r="M12" s="4">
        <v>559</v>
      </c>
      <c r="N12" s="4">
        <v>74.349999999999994</v>
      </c>
      <c r="O12" s="4">
        <v>8.5</v>
      </c>
      <c r="P12" s="4">
        <f t="shared" si="4"/>
        <v>5265</v>
      </c>
      <c r="Q12" s="4">
        <f t="shared" si="4"/>
        <v>699.80000000000007</v>
      </c>
      <c r="R12" s="4">
        <f t="shared" si="4"/>
        <v>80</v>
      </c>
    </row>
    <row r="13" spans="1:18" hidden="1" x14ac:dyDescent="0.25">
      <c r="A13" s="3">
        <v>2025</v>
      </c>
      <c r="B13" s="3" t="s">
        <v>21</v>
      </c>
      <c r="C13" s="4"/>
      <c r="D13" s="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s="8" customFormat="1" x14ac:dyDescent="0.25">
      <c r="A14" s="10" t="s">
        <v>22</v>
      </c>
      <c r="B14" s="11"/>
      <c r="C14" s="6"/>
      <c r="D14" s="6">
        <f>SUM(D3:D12)</f>
        <v>35146.949999999997</v>
      </c>
      <c r="E14" s="7">
        <f>SUM(E3:E12)</f>
        <v>4455</v>
      </c>
      <c r="F14" s="7">
        <f t="shared" ref="F14:H14" si="5">SUM(F3:F12)</f>
        <v>200</v>
      </c>
      <c r="G14" s="7">
        <f t="shared" si="5"/>
        <v>80</v>
      </c>
      <c r="H14" s="7">
        <f t="shared" si="5"/>
        <v>618.05000000000007</v>
      </c>
      <c r="I14" s="12"/>
      <c r="J14" s="13"/>
      <c r="K14" s="13"/>
      <c r="L14" s="14"/>
      <c r="M14" s="7">
        <f>SUM(M3:M12)</f>
        <v>5265</v>
      </c>
      <c r="N14" s="7">
        <f t="shared" ref="N14:O14" si="6">SUM(N3:N12)</f>
        <v>699.80000000000007</v>
      </c>
      <c r="O14" s="7">
        <f t="shared" si="6"/>
        <v>80</v>
      </c>
      <c r="P14" s="12"/>
      <c r="Q14" s="13"/>
      <c r="R14" s="14"/>
    </row>
  </sheetData>
  <mergeCells count="11">
    <mergeCell ref="M1:O1"/>
    <mergeCell ref="P1:R1"/>
    <mergeCell ref="A14:B14"/>
    <mergeCell ref="I14:L14"/>
    <mergeCell ref="P14:R14"/>
    <mergeCell ref="A1:A2"/>
    <mergeCell ref="B1:B2"/>
    <mergeCell ref="C1:C2"/>
    <mergeCell ref="D1:D2"/>
    <mergeCell ref="E1:H1"/>
    <mergeCell ref="I1:L1"/>
  </mergeCells>
  <pageMargins left="0.7" right="0.7" top="0.75" bottom="0.75" header="0.3" footer="0.3"/>
  <ignoredErrors>
    <ignoredError sqref="D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Deductions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Haziq Hilman (Averroes)</dc:creator>
  <cp:lastModifiedBy>Haziq Hilman (Averroes)</cp:lastModifiedBy>
  <dcterms:created xsi:type="dcterms:W3CDTF">2026-02-19T07:28:13Z</dcterms:created>
  <dcterms:modified xsi:type="dcterms:W3CDTF">2026-02-27T00:58:34Z</dcterms:modified>
</cp:coreProperties>
</file>