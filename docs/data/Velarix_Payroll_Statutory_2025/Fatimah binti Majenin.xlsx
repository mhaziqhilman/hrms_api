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iq\Averroes Data Science\Company\Velarix Technology Sdn Bhd\HR\Payslip\Statutory 2025\"/>
    </mc:Choice>
  </mc:AlternateContent>
  <xr:revisionPtr revIDLastSave="0" documentId="8_{A4A668E0-43ED-4D0E-AFA2-D023A8C5EB15}" xr6:coauthVersionLast="47" xr6:coauthVersionMax="47" xr10:uidLastSave="{00000000-0000-0000-0000-000000000000}"/>
  <bookViews>
    <workbookView xWindow="-108" yWindow="-108" windowWidth="23256" windowHeight="12456" xr2:uid="{1D41C957-0DC3-4B36-9B4C-32B1BA62D824}"/>
  </bookViews>
  <sheets>
    <sheet name="Dedu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14" i="1" s="1"/>
  <c r="I8" i="1"/>
  <c r="I9" i="1" s="1"/>
  <c r="I10" i="1" s="1"/>
  <c r="I11" i="1" s="1"/>
  <c r="I12" i="1" s="1"/>
  <c r="I13" i="1" s="1"/>
  <c r="J8" i="1"/>
  <c r="J9" i="1" s="1"/>
  <c r="J10" i="1" s="1"/>
  <c r="J11" i="1" s="1"/>
  <c r="J12" i="1" s="1"/>
  <c r="J13" i="1" s="1"/>
  <c r="K8" i="1"/>
  <c r="K9" i="1" s="1"/>
  <c r="K10" i="1" s="1"/>
  <c r="K11" i="1" s="1"/>
  <c r="K12" i="1" s="1"/>
  <c r="K13" i="1" s="1"/>
  <c r="L8" i="1"/>
  <c r="L9" i="1" s="1"/>
  <c r="L10" i="1" s="1"/>
  <c r="L11" i="1" s="1"/>
  <c r="L12" i="1" s="1"/>
  <c r="L13" i="1" s="1"/>
  <c r="P8" i="1"/>
  <c r="P9" i="1" s="1"/>
  <c r="P10" i="1" s="1"/>
  <c r="P11" i="1" s="1"/>
  <c r="P12" i="1" s="1"/>
  <c r="P13" i="1" s="1"/>
  <c r="Q8" i="1"/>
  <c r="Q9" i="1" s="1"/>
  <c r="Q10" i="1" s="1"/>
  <c r="Q11" i="1" s="1"/>
  <c r="Q12" i="1" s="1"/>
  <c r="Q13" i="1" s="1"/>
  <c r="R8" i="1"/>
  <c r="D9" i="1"/>
  <c r="R9" i="1"/>
  <c r="R10" i="1" s="1"/>
  <c r="R11" i="1" s="1"/>
  <c r="R12" i="1" s="1"/>
  <c r="R13" i="1" s="1"/>
  <c r="D10" i="1"/>
  <c r="D11" i="1"/>
  <c r="D12" i="1"/>
  <c r="D13" i="1"/>
  <c r="E14" i="1"/>
  <c r="F14" i="1"/>
  <c r="G14" i="1"/>
  <c r="H14" i="1"/>
  <c r="M14" i="1"/>
  <c r="N14" i="1"/>
  <c r="O14" i="1"/>
</calcChain>
</file>

<file path=xl/sharedStrings.xml><?xml version="1.0" encoding="utf-8"?>
<sst xmlns="http://schemas.openxmlformats.org/spreadsheetml/2006/main" count="34" uniqueCount="24">
  <si>
    <t>Total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</si>
  <si>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</si>
  <si>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</si>
  <si>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</si>
  <si>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</si>
  <si>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</si>
  <si>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</si>
  <si>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</si>
  <si>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</si>
  <si>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</si>
  <si>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</si>
  <si>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</si>
  <si>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EIS</t>
  </si>
  <si>
    <t>Socso</t>
  </si>
  <si>
    <t>EPF</t>
  </si>
  <si>
    <t>Income Tax</t>
  </si>
  <si>
    <t>YTD Employer</t>
  </si>
  <si>
    <t>Deduction Employer</t>
  </si>
  <si>
    <t>YTD Employee</t>
  </si>
  <si>
    <t>Deduction Employee</t>
  </si>
  <si>
    <t>Net Salary</t>
  </si>
  <si>
    <t>Salary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</si>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</sst>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color rgb="FF000000"/>
      <name val="Inter"/>
      <family val="3"/>
    </font>
    <font>
      <b/>
      <sz val="10"/>
      <color rgb="FF000000"/>
      <name val="Inter"/>
      <family val="3"/>
    </font>
    <font>
      <sz val="10"/>
      <name val="Inter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2" fontId="3" fillId="0" borderId="6" xfId="0" applyNumberFormat="1" applyFont="1" applyBorder="1" applyAlignment="1">
      <alignment horizontal="right" vertical="top" wrapText="1"/>
    </xf>
    <xf numFmtId="2" fontId="3" fillId="0" borderId="6" xfId="0" applyNumberFormat="1" applyFont="1" applyBorder="1" applyAlignment="1">
      <alignment horizontal="right" vertical="center" wrapText="1"/>
    </xf>
    <xf numFmtId="2" fontId="3" fillId="0" borderId="7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0" borderId="9" xfId="0" applyFont="1" applyBorder="1" applyAlignment="1">
      <alignment horizontal="right" vertical="top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5824-B48E-47FC-B9C3-EA561FD4756A}">
  <dimension ref="A1:R26"/>
  <sheetViews>
    <sheetView tabSelected="1" workbookViewId="0">
      <selection activeCell="D17" sqref="D17:D18"/>
    </sheetView>
  </sheetViews>
  <sheetFormatPr defaultRowHeight="13.2" x14ac:dyDescent="0.25"/>
  <cols>
    <col min="1" max="3" width="8.88671875" style="1"/>
    <col min="4" max="4" width="10.5546875" style="1" bestFit="1" customWidth="1"/>
    <col min="5" max="5" width="14.109375" style="1" bestFit="1" customWidth="1"/>
    <col min="6" max="7" width="8.88671875" style="1"/>
    <col min="8" max="8" width="11.33203125" style="1" bestFit="1" customWidth="1"/>
    <col min="9" max="9" width="14.109375" style="1" bestFit="1" customWidth="1"/>
    <col min="10" max="11" width="8.88671875" style="1"/>
    <col min="12" max="12" width="11.33203125" style="1" bestFit="1" customWidth="1"/>
    <col min="13" max="13" width="13.6640625" style="1" bestFit="1" customWidth="1"/>
    <col min="14" max="15" width="8.88671875" style="1"/>
    <col min="16" max="16" width="13.6640625" style="1" bestFit="1" customWidth="1"/>
    <col min="17" max="16384" width="8.88671875" style="1"/>
  </cols>
  <sheetData>
    <row r="1" spans="1:18" s="23" customFormat="1" x14ac:dyDescent="0.25">
      <c r="A1" s="26" t="s">
        <v>23</v>
      </c>
      <c r="B1" s="26" t="s">
        <v>22</v>
      </c>
      <c r="C1" s="24" t="s">
        <v>21</v>
      </c>
      <c r="D1" s="24" t="s">
        <v>20</v>
      </c>
      <c r="E1" s="26" t="s">
        <v>19</v>
      </c>
      <c r="F1" s="26"/>
      <c r="G1" s="26"/>
      <c r="H1" s="26"/>
      <c r="I1" s="26" t="s">
        <v>18</v>
      </c>
      <c r="J1" s="26"/>
      <c r="K1" s="26"/>
      <c r="L1" s="26"/>
      <c r="M1" s="26" t="s">
        <v>17</v>
      </c>
      <c r="N1" s="26"/>
      <c r="O1" s="26"/>
      <c r="P1" s="26" t="s">
        <v>16</v>
      </c>
      <c r="Q1" s="26"/>
      <c r="R1" s="26"/>
    </row>
    <row r="2" spans="1:18" s="23" customFormat="1" x14ac:dyDescent="0.25">
      <c r="A2" s="26"/>
      <c r="B2" s="26"/>
      <c r="C2" s="25"/>
      <c r="D2" s="25"/>
      <c r="E2" s="24" t="s">
        <v>14</v>
      </c>
      <c r="F2" s="24" t="s">
        <v>13</v>
      </c>
      <c r="G2" s="24" t="s">
        <v>12</v>
      </c>
      <c r="H2" s="24" t="s">
        <v>15</v>
      </c>
      <c r="I2" s="24" t="s">
        <v>14</v>
      </c>
      <c r="J2" s="24" t="s">
        <v>13</v>
      </c>
      <c r="K2" s="24" t="s">
        <v>12</v>
      </c>
      <c r="L2" s="24" t="s">
        <v>15</v>
      </c>
      <c r="M2" s="24" t="s">
        <v>14</v>
      </c>
      <c r="N2" s="24" t="s">
        <v>13</v>
      </c>
      <c r="O2" s="24" t="s">
        <v>12</v>
      </c>
      <c r="P2" s="24" t="s">
        <v>14</v>
      </c>
      <c r="Q2" s="24" t="s">
        <v>13</v>
      </c>
      <c r="R2" s="24" t="s">
        <v>12</v>
      </c>
    </row>
    <row r="3" spans="1:18" x14ac:dyDescent="0.25">
      <c r="A3" s="18">
        <v>2025</v>
      </c>
      <c r="B3" s="17" t="s">
        <v>11</v>
      </c>
      <c r="C3" s="16"/>
      <c r="D3" s="16">
        <f>C3-SUM(E3:H3)</f>
        <v>0</v>
      </c>
      <c r="E3" s="19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25">
      <c r="A4" s="18">
        <v>2025</v>
      </c>
      <c r="B4" s="17" t="s">
        <v>10</v>
      </c>
      <c r="C4" s="16"/>
      <c r="D4" s="16">
        <f>C4-SUM(E4:H4)</f>
        <v>0</v>
      </c>
      <c r="E4" s="19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25">
      <c r="A5" s="18">
        <v>2025</v>
      </c>
      <c r="B5" s="17" t="s">
        <v>9</v>
      </c>
      <c r="C5" s="16"/>
      <c r="D5" s="16">
        <f>C5-SUM(E5:H5)</f>
        <v>0</v>
      </c>
      <c r="E5" s="19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25">
      <c r="A6" s="18">
        <v>2025</v>
      </c>
      <c r="B6" s="17" t="s">
        <v>8</v>
      </c>
      <c r="C6" s="16"/>
      <c r="D6" s="16">
        <f>C6-SUM(E6:H6)</f>
        <v>0</v>
      </c>
      <c r="E6" s="19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25">
      <c r="A7" s="18">
        <v>2025</v>
      </c>
      <c r="B7" s="17" t="s">
        <v>7</v>
      </c>
      <c r="C7" s="16"/>
      <c r="D7" s="16">
        <f>C7-SUM(E7:H7)</f>
        <v>0</v>
      </c>
      <c r="E7" s="22"/>
      <c r="F7" s="21"/>
      <c r="G7" s="21"/>
      <c r="H7" s="21"/>
      <c r="I7" s="11"/>
      <c r="J7" s="11"/>
      <c r="K7" s="11"/>
      <c r="L7" s="11"/>
      <c r="M7" s="21"/>
      <c r="N7" s="21"/>
      <c r="O7" s="21"/>
      <c r="P7" s="11"/>
      <c r="Q7" s="11"/>
      <c r="R7" s="11"/>
    </row>
    <row r="8" spans="1:18" x14ac:dyDescent="0.25">
      <c r="A8" s="18">
        <v>2025</v>
      </c>
      <c r="B8" s="17" t="s">
        <v>6</v>
      </c>
      <c r="C8" s="16">
        <v>5100</v>
      </c>
      <c r="D8" s="16">
        <f>C8-SUM(E8:H8)</f>
        <v>4387.6499999999996</v>
      </c>
      <c r="E8" s="15">
        <v>561</v>
      </c>
      <c r="F8" s="14">
        <v>25.25</v>
      </c>
      <c r="G8" s="14">
        <v>10.1</v>
      </c>
      <c r="H8" s="13">
        <v>116</v>
      </c>
      <c r="I8" s="19">
        <f>SUM(I7,E8)</f>
        <v>561</v>
      </c>
      <c r="J8" s="11">
        <f>SUM(J7,F8)</f>
        <v>25.25</v>
      </c>
      <c r="K8" s="11">
        <f>SUM(K7,G8)</f>
        <v>10.1</v>
      </c>
      <c r="L8" s="20">
        <f>SUM(L7,H8)</f>
        <v>116</v>
      </c>
      <c r="M8" s="12">
        <v>612</v>
      </c>
      <c r="N8" s="12">
        <v>88.35</v>
      </c>
      <c r="O8" s="12">
        <v>10.1</v>
      </c>
      <c r="P8" s="19">
        <f>SUM(P7,M8)</f>
        <v>612</v>
      </c>
      <c r="Q8" s="11">
        <f>SUM(Q7,N8)</f>
        <v>88.35</v>
      </c>
      <c r="R8" s="11">
        <f>SUM(R7,O8)</f>
        <v>10.1</v>
      </c>
    </row>
    <row r="9" spans="1:18" x14ac:dyDescent="0.25">
      <c r="A9" s="18">
        <v>2025</v>
      </c>
      <c r="B9" s="17" t="s">
        <v>5</v>
      </c>
      <c r="C9" s="16">
        <v>5100</v>
      </c>
      <c r="D9" s="16">
        <f>C9-SUM(E9:H9)</f>
        <v>4387.6499999999996</v>
      </c>
      <c r="E9" s="15">
        <v>561</v>
      </c>
      <c r="F9" s="14">
        <v>25.25</v>
      </c>
      <c r="G9" s="14">
        <v>10.1</v>
      </c>
      <c r="H9" s="13">
        <v>116</v>
      </c>
      <c r="I9" s="11">
        <f>SUM(I8,E9)</f>
        <v>1122</v>
      </c>
      <c r="J9" s="11">
        <f>SUM(J8,F9)</f>
        <v>50.5</v>
      </c>
      <c r="K9" s="11">
        <f>SUM(K8,G9)</f>
        <v>20.2</v>
      </c>
      <c r="L9" s="11">
        <f>SUM(L8,H9)</f>
        <v>232</v>
      </c>
      <c r="M9" s="12">
        <v>612</v>
      </c>
      <c r="N9" s="12">
        <v>88.35</v>
      </c>
      <c r="O9" s="12">
        <v>10.1</v>
      </c>
      <c r="P9" s="11">
        <f>SUM(P8,M9)</f>
        <v>1224</v>
      </c>
      <c r="Q9" s="11">
        <f>SUM(Q8,N9)</f>
        <v>176.7</v>
      </c>
      <c r="R9" s="11">
        <f>SUM(R8,O9)</f>
        <v>20.2</v>
      </c>
    </row>
    <row r="10" spans="1:18" x14ac:dyDescent="0.25">
      <c r="A10" s="18">
        <v>2025</v>
      </c>
      <c r="B10" s="17" t="s">
        <v>4</v>
      </c>
      <c r="C10" s="16">
        <v>5100</v>
      </c>
      <c r="D10" s="16">
        <f>C10-SUM(E10:H10)</f>
        <v>4387.6499999999996</v>
      </c>
      <c r="E10" s="15">
        <v>561</v>
      </c>
      <c r="F10" s="14">
        <v>25.25</v>
      </c>
      <c r="G10" s="14">
        <v>10.1</v>
      </c>
      <c r="H10" s="13">
        <v>116</v>
      </c>
      <c r="I10" s="11">
        <f>SUM(I9,E10)</f>
        <v>1683</v>
      </c>
      <c r="J10" s="11">
        <f>SUM(J9,F10)</f>
        <v>75.75</v>
      </c>
      <c r="K10" s="11">
        <f>SUM(K9,G10)</f>
        <v>30.299999999999997</v>
      </c>
      <c r="L10" s="11">
        <f>SUM(L9,H10)</f>
        <v>348</v>
      </c>
      <c r="M10" s="12">
        <v>612</v>
      </c>
      <c r="N10" s="12">
        <v>88.35</v>
      </c>
      <c r="O10" s="12">
        <v>10.1</v>
      </c>
      <c r="P10" s="11">
        <f>SUM(P9,M10)</f>
        <v>1836</v>
      </c>
      <c r="Q10" s="11">
        <f>SUM(Q9,N10)</f>
        <v>265.04999999999995</v>
      </c>
      <c r="R10" s="11">
        <f>SUM(R9,O10)</f>
        <v>30.299999999999997</v>
      </c>
    </row>
    <row r="11" spans="1:18" x14ac:dyDescent="0.25">
      <c r="A11" s="18">
        <v>2025</v>
      </c>
      <c r="B11" s="17" t="s">
        <v>3</v>
      </c>
      <c r="C11" s="16">
        <v>5100</v>
      </c>
      <c r="D11" s="16">
        <f>C11-SUM(E11:H11)</f>
        <v>4387.6499999999996</v>
      </c>
      <c r="E11" s="15">
        <v>561</v>
      </c>
      <c r="F11" s="14">
        <v>25.25</v>
      </c>
      <c r="G11" s="14">
        <v>10.1</v>
      </c>
      <c r="H11" s="13">
        <v>116</v>
      </c>
      <c r="I11" s="11">
        <f>SUM(I10,E11)</f>
        <v>2244</v>
      </c>
      <c r="J11" s="11">
        <f>SUM(J10,F11)</f>
        <v>101</v>
      </c>
      <c r="K11" s="11">
        <f>SUM(K10,G11)</f>
        <v>40.4</v>
      </c>
      <c r="L11" s="11">
        <f>SUM(L10,H11)</f>
        <v>464</v>
      </c>
      <c r="M11" s="12">
        <v>612</v>
      </c>
      <c r="N11" s="12">
        <v>88.35</v>
      </c>
      <c r="O11" s="12">
        <v>10.1</v>
      </c>
      <c r="P11" s="11">
        <f>SUM(P10,M11)</f>
        <v>2448</v>
      </c>
      <c r="Q11" s="11">
        <f>SUM(Q10,N11)</f>
        <v>353.4</v>
      </c>
      <c r="R11" s="11">
        <f>SUM(R10,O11)</f>
        <v>40.4</v>
      </c>
    </row>
    <row r="12" spans="1:18" x14ac:dyDescent="0.25">
      <c r="A12" s="18">
        <v>2025</v>
      </c>
      <c r="B12" s="17" t="s">
        <v>2</v>
      </c>
      <c r="C12" s="16">
        <v>5100</v>
      </c>
      <c r="D12" s="16">
        <f>C12-SUM(E12:H12)</f>
        <v>4387.6499999999996</v>
      </c>
      <c r="E12" s="15">
        <v>561</v>
      </c>
      <c r="F12" s="14">
        <v>25.25</v>
      </c>
      <c r="G12" s="14">
        <v>10.1</v>
      </c>
      <c r="H12" s="13">
        <v>116</v>
      </c>
      <c r="I12" s="11">
        <f>SUM(I11,E12)</f>
        <v>2805</v>
      </c>
      <c r="J12" s="11">
        <f>SUM(J11,F12)</f>
        <v>126.25</v>
      </c>
      <c r="K12" s="11">
        <f>SUM(K11,G12)</f>
        <v>50.5</v>
      </c>
      <c r="L12" s="11">
        <f>SUM(L11,H12)</f>
        <v>580</v>
      </c>
      <c r="M12" s="12">
        <v>612</v>
      </c>
      <c r="N12" s="12">
        <v>88.35</v>
      </c>
      <c r="O12" s="12">
        <v>10.1</v>
      </c>
      <c r="P12" s="11">
        <f>SUM(P11,M12)</f>
        <v>3060</v>
      </c>
      <c r="Q12" s="11">
        <f>SUM(Q11,N12)</f>
        <v>441.75</v>
      </c>
      <c r="R12" s="11">
        <f>SUM(R11,O12)</f>
        <v>50.5</v>
      </c>
    </row>
    <row r="13" spans="1:18" x14ac:dyDescent="0.25">
      <c r="A13" s="18">
        <v>2025</v>
      </c>
      <c r="B13" s="17" t="s">
        <v>1</v>
      </c>
      <c r="C13" s="16">
        <v>5100</v>
      </c>
      <c r="D13" s="16">
        <f>C13-SUM(E13:H13)</f>
        <v>4387.6499999999996</v>
      </c>
      <c r="E13" s="15">
        <v>561</v>
      </c>
      <c r="F13" s="14">
        <v>25.25</v>
      </c>
      <c r="G13" s="14">
        <v>10.1</v>
      </c>
      <c r="H13" s="13">
        <v>116</v>
      </c>
      <c r="I13" s="11">
        <f>SUM(I12,E13)</f>
        <v>3366</v>
      </c>
      <c r="J13" s="11">
        <f>SUM(J12,F13)</f>
        <v>151.5</v>
      </c>
      <c r="K13" s="11">
        <f>SUM(K12,G13)</f>
        <v>60.6</v>
      </c>
      <c r="L13" s="11">
        <f>SUM(L12,H13)</f>
        <v>696</v>
      </c>
      <c r="M13" s="12">
        <v>612</v>
      </c>
      <c r="N13" s="12">
        <v>88.35</v>
      </c>
      <c r="O13" s="12">
        <v>10.1</v>
      </c>
      <c r="P13" s="11">
        <f>SUM(P12,M13)</f>
        <v>3672</v>
      </c>
      <c r="Q13" s="11">
        <f>SUM(Q12,N13)</f>
        <v>530.1</v>
      </c>
      <c r="R13" s="11">
        <f>SUM(R12,O13)</f>
        <v>60.6</v>
      </c>
    </row>
    <row r="14" spans="1:18" s="3" customFormat="1" x14ac:dyDescent="0.25">
      <c r="A14" s="10" t="s">
        <v>0</v>
      </c>
      <c r="B14" s="9"/>
      <c r="C14" s="8"/>
      <c r="D14" s="8">
        <f>SUM(D3:D13)</f>
        <v>26325.9</v>
      </c>
      <c r="E14" s="7">
        <f>SUM(E3:E13)</f>
        <v>3366</v>
      </c>
      <c r="F14" s="7">
        <f>SUM(F3:F13)</f>
        <v>151.5</v>
      </c>
      <c r="G14" s="7">
        <f>SUM(G3:G13)</f>
        <v>60.6</v>
      </c>
      <c r="H14" s="7">
        <f>SUM(H3:H13)</f>
        <v>696</v>
      </c>
      <c r="I14" s="6"/>
      <c r="J14" s="5"/>
      <c r="K14" s="5"/>
      <c r="L14" s="4"/>
      <c r="M14" s="7">
        <f>SUM(M3:M13)</f>
        <v>3672</v>
      </c>
      <c r="N14" s="7">
        <f>SUM(N3:N13)</f>
        <v>530.1</v>
      </c>
      <c r="O14" s="7">
        <f>SUM(O3:O13)</f>
        <v>60.6</v>
      </c>
      <c r="P14" s="6"/>
      <c r="Q14" s="5"/>
      <c r="R14" s="4"/>
    </row>
    <row r="19" spans="6:9" x14ac:dyDescent="0.25">
      <c r="F19" s="2"/>
      <c r="G19" s="2"/>
      <c r="H19" s="2"/>
      <c r="I19" s="2"/>
    </row>
    <row r="20" spans="6:9" x14ac:dyDescent="0.25">
      <c r="F20" s="2"/>
      <c r="G20" s="2"/>
      <c r="H20" s="2"/>
      <c r="I20" s="2"/>
    </row>
    <row r="21" spans="6:9" x14ac:dyDescent="0.25">
      <c r="F21" s="2"/>
      <c r="G21" s="2"/>
      <c r="H21" s="2"/>
      <c r="I21" s="2"/>
    </row>
    <row r="22" spans="6:9" x14ac:dyDescent="0.25">
      <c r="F22" s="2"/>
      <c r="G22" s="2"/>
      <c r="H22" s="2"/>
      <c r="I22" s="2"/>
    </row>
    <row r="23" spans="6:9" x14ac:dyDescent="0.25">
      <c r="F23" s="2"/>
      <c r="G23" s="2"/>
      <c r="H23" s="2"/>
      <c r="I23" s="2"/>
    </row>
    <row r="24" spans="6:9" x14ac:dyDescent="0.25">
      <c r="F24" s="2"/>
      <c r="G24" s="2"/>
      <c r="H24" s="2"/>
      <c r="I24" s="2"/>
    </row>
    <row r="25" spans="6:9" x14ac:dyDescent="0.25">
      <c r="F25" s="2"/>
      <c r="G25" s="2"/>
      <c r="H25" s="2"/>
      <c r="I25" s="2"/>
    </row>
    <row r="26" spans="6:9" x14ac:dyDescent="0.25">
      <c r="F26" s="2"/>
      <c r="G26" s="2"/>
      <c r="H26" s="2"/>
      <c r="I26" s="2"/>
    </row>
  </sheetData>
  <mergeCells count="9">
    <mergeCell ref="A14:B14"/>
    <mergeCell ref="I14:L14"/>
    <mergeCell ref="P14:R14"/>
    <mergeCell ref="A1:A2"/>
    <mergeCell ref="B1:B2"/>
    <mergeCell ref="E1:H1"/>
    <mergeCell ref="I1:L1"/>
    <mergeCell ref="M1:O1"/>
    <mergeCell ref="P1:R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2026-02-19T06:49:44Z</dcterms:created>
  <dcterms:modified xsi:type="dcterms:W3CDTF">2026-02-19T06:51:38Z</dcterms:modified>
</cp:coreProperties>
</file>